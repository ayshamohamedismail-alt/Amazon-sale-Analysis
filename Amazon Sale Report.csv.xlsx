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11c4c174fbf068d/Desktop/ENTRI_DA/"/>
    </mc:Choice>
  </mc:AlternateContent>
  <xr:revisionPtr revIDLastSave="264" documentId="8_{8848C701-80A3-48FA-8B2C-9F073A2B688C}" xr6:coauthVersionLast="47" xr6:coauthVersionMax="47" xr10:uidLastSave="{E85788B2-1814-4E8F-AB49-E23A25673F99}"/>
  <bookViews>
    <workbookView xWindow="-108" yWindow="-108" windowWidth="23256" windowHeight="12456" xr2:uid="{E64CC034-3578-493F-B061-9D049E29EEC7}"/>
  </bookViews>
  <sheets>
    <sheet name="amzn_1" sheetId="5" r:id="rId1"/>
    <sheet name="analysis" sheetId="3" r:id="rId2"/>
    <sheet name="PIVOT" sheetId="4" r:id="rId3"/>
    <sheet name="DASHBOARD" sheetId="6" r:id="rId4"/>
  </sheets>
  <definedNames>
    <definedName name="_xlcn.WorksheetConnection_AmazonSaleReport.csv.xlsxamzn_11" hidden="1">amzn_1</definedName>
    <definedName name="_xlcn.WorksheetConnection_AmazonSaleReport.csv.xlsxamzn_21" hidden="1">amzn_2[]</definedName>
    <definedName name="ExternalData_2" localSheetId="0" hidden="1">amzn_1!$A$1:$N$501</definedName>
  </definedNames>
  <calcPr calcId="0"/>
  <pivotCaches>
    <pivotCache cacheId="47" r:id="rId5"/>
    <pivotCache cacheId="48" r:id="rId6"/>
    <pivotCache cacheId="49" r:id="rId7"/>
    <pivotCache cacheId="52" r:id="rId8"/>
    <pivotCache cacheId="60" r:id="rId9"/>
    <pivotCache cacheId="68" r:id="rId10"/>
  </pivotCaches>
  <extLst>
    <ext xmlns:x15="http://schemas.microsoft.com/office/spreadsheetml/2010/11/main" uri="{FCE2AD5D-F65C-4FA6-A056-5C36A1767C68}">
      <x15:dataModel>
        <x15:modelTables>
          <x15:modelTable id="amzn_1" name="amzn_1" connection="WorksheetConnection_Amazon Sale Report.csv.xlsx!amzn_1"/>
          <x15:modelTable id="amzn_2" name="amzn_2" connection="WorksheetConnection_Amazon Sale Report.csv.xlsx!amzn_2"/>
        </x15:modelTables>
      </x15:dataModel>
    </ext>
  </extLst>
</workbook>
</file>

<file path=xl/calcChain.xml><?xml version="1.0" encoding="utf-8"?>
<calcChain xmlns="http://schemas.openxmlformats.org/spreadsheetml/2006/main">
  <c r="C7" i="3" l="1"/>
  <c r="C6" i="3"/>
  <c r="C5" i="3"/>
  <c r="C4" i="3"/>
  <c r="C3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819DF8F-F07D-4B06-8BB0-43C98E883744}" keepAlive="1" name="Query - amzn_1" description="Connection to the 'amzn_1' query in the workbook." type="5" refreshedVersion="8" background="1" saveData="1">
    <dbPr connection="Provider=Microsoft.Mashup.OleDb.1;Data Source=$Workbook$;Location=amzn_1;Extended Properties=&quot;&quot;" command="SELECT * FROM [amzn_1]"/>
  </connection>
  <connection id="2" xr16:uid="{C486E2C7-CD83-4D98-9BF8-1E082E30D2C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A18E8435-FB52-4909-B55A-0ED7DC578310}" name="WorksheetConnection_Amazon Sale Report.csv.xlsx!amzn_1" type="102" refreshedVersion="8" minRefreshableVersion="5">
    <extLst>
      <ext xmlns:x15="http://schemas.microsoft.com/office/spreadsheetml/2010/11/main" uri="{DE250136-89BD-433C-8126-D09CA5730AF9}">
        <x15:connection id="amzn_1" autoDelete="1">
          <x15:rangePr sourceName="_xlcn.WorksheetConnection_AmazonSaleReport.csv.xlsxamzn_11"/>
        </x15:connection>
      </ext>
    </extLst>
  </connection>
  <connection id="4" xr16:uid="{130050E9-B58A-416C-B266-8FD8088CF898}" name="WorksheetConnection_Amazon Sale Report.csv.xlsx!amzn_2" type="102" refreshedVersion="8" minRefreshableVersion="5">
    <extLst>
      <ext xmlns:x15="http://schemas.microsoft.com/office/spreadsheetml/2010/11/main" uri="{DE250136-89BD-433C-8126-D09CA5730AF9}">
        <x15:connection id="amzn_2" autoDelete="1">
          <x15:rangePr sourceName="_xlcn.WorksheetConnection_AmazonSaleReport.csv.xlsxamzn_21"/>
        </x15:connection>
      </ext>
    </extLst>
  </connection>
</connections>
</file>

<file path=xl/sharedStrings.xml><?xml version="1.0" encoding="utf-8"?>
<sst xmlns="http://schemas.openxmlformats.org/spreadsheetml/2006/main" count="5081" uniqueCount="298">
  <si>
    <t>Status</t>
  </si>
  <si>
    <t>Fulfilment</t>
  </si>
  <si>
    <t>Category</t>
  </si>
  <si>
    <t>Size</t>
  </si>
  <si>
    <t>Courier Status</t>
  </si>
  <si>
    <t>Qty</t>
  </si>
  <si>
    <t>currency</t>
  </si>
  <si>
    <t>Amount</t>
  </si>
  <si>
    <t>ship-postal-code</t>
  </si>
  <si>
    <t>ship-country</t>
  </si>
  <si>
    <t>Cancelled</t>
  </si>
  <si>
    <t>Merchant</t>
  </si>
  <si>
    <t>Standard</t>
  </si>
  <si>
    <t>T-shirt</t>
  </si>
  <si>
    <t>S</t>
  </si>
  <si>
    <t>On the Way</t>
  </si>
  <si>
    <t>INR</t>
  </si>
  <si>
    <t>MUMBAI</t>
  </si>
  <si>
    <t>MAHARASHTRA</t>
  </si>
  <si>
    <t>IN</t>
  </si>
  <si>
    <t>Shipped - Delivered to Buyer</t>
  </si>
  <si>
    <t>Shirt</t>
  </si>
  <si>
    <t>3XL</t>
  </si>
  <si>
    <t>Shipped</t>
  </si>
  <si>
    <t>BENGALURU</t>
  </si>
  <si>
    <t>KARNATAKA</t>
  </si>
  <si>
    <t>Amazon</t>
  </si>
  <si>
    <t>Expedited</t>
  </si>
  <si>
    <t>XL</t>
  </si>
  <si>
    <t>NAVI MUMBAI</t>
  </si>
  <si>
    <t>Blazzer</t>
  </si>
  <si>
    <t>L</t>
  </si>
  <si>
    <t>PUDUCHERRY</t>
  </si>
  <si>
    <t>Trousers</t>
  </si>
  <si>
    <t>CHENNAI</t>
  </si>
  <si>
    <t>TAMIL NADU</t>
  </si>
  <si>
    <t>GHAZIABAD</t>
  </si>
  <si>
    <t>UTTAR PRADESH</t>
  </si>
  <si>
    <t>CHANDIGARH</t>
  </si>
  <si>
    <t>HYDERABAD</t>
  </si>
  <si>
    <t>TELANGANA</t>
  </si>
  <si>
    <t>XXL</t>
  </si>
  <si>
    <t>Chennai</t>
  </si>
  <si>
    <t>XS</t>
  </si>
  <si>
    <t>NOIDA</t>
  </si>
  <si>
    <t>Amravati.</t>
  </si>
  <si>
    <t>6XL</t>
  </si>
  <si>
    <t>GUNTAKAL</t>
  </si>
  <si>
    <t>ANDHRA PRADESH</t>
  </si>
  <si>
    <t>JAIPUR</t>
  </si>
  <si>
    <t>RAJASTHAN</t>
  </si>
  <si>
    <t>NEW DELHI</t>
  </si>
  <si>
    <t>DELHI</t>
  </si>
  <si>
    <t>Gurgaon</t>
  </si>
  <si>
    <t>HARYANA</t>
  </si>
  <si>
    <t>TIRUCHIRAPPALLI</t>
  </si>
  <si>
    <t>M</t>
  </si>
  <si>
    <t>pune</t>
  </si>
  <si>
    <t>TEZPUR</t>
  </si>
  <si>
    <t>ASSAM</t>
  </si>
  <si>
    <t>RANCHI</t>
  </si>
  <si>
    <t>JHARKHAND</t>
  </si>
  <si>
    <t>BILASPUR</t>
  </si>
  <si>
    <t>CHHATTISGARH</t>
  </si>
  <si>
    <t>4XL</t>
  </si>
  <si>
    <t>PUNE</t>
  </si>
  <si>
    <t>GUWAHATI</t>
  </si>
  <si>
    <t>THIRUVARUR</t>
  </si>
  <si>
    <t>LUCKNOW</t>
  </si>
  <si>
    <t>VISAKHAPATNAM</t>
  </si>
  <si>
    <t>JEYPUR</t>
  </si>
  <si>
    <t>ODISHA</t>
  </si>
  <si>
    <t>THIRUVANANTHAPURAM</t>
  </si>
  <si>
    <t>KERALA</t>
  </si>
  <si>
    <t>Perfume</t>
  </si>
  <si>
    <t>Free</t>
  </si>
  <si>
    <t>GREATER NOIDA</t>
  </si>
  <si>
    <t>JABALPUR</t>
  </si>
  <si>
    <t>MADHYA PRADESH</t>
  </si>
  <si>
    <t>KOLKATA</t>
  </si>
  <si>
    <t>WEST BENGAL</t>
  </si>
  <si>
    <t>ONGOLE</t>
  </si>
  <si>
    <t>SECUNDERABAD</t>
  </si>
  <si>
    <t>KEWALPUR</t>
  </si>
  <si>
    <t>CUTTACK</t>
  </si>
  <si>
    <t>BADLAPUR</t>
  </si>
  <si>
    <t>dimapur</t>
  </si>
  <si>
    <t>NAGALAND</t>
  </si>
  <si>
    <t>WARANGAL</t>
  </si>
  <si>
    <t>DHAULPUR</t>
  </si>
  <si>
    <t>Bengaluru</t>
  </si>
  <si>
    <t>NAGPUR</t>
  </si>
  <si>
    <t>THANE</t>
  </si>
  <si>
    <t>Gujarat</t>
  </si>
  <si>
    <t>VIJAPURA</t>
  </si>
  <si>
    <t>bangalore</t>
  </si>
  <si>
    <t>BERHAMPUR</t>
  </si>
  <si>
    <t>HIMMATNAGAR</t>
  </si>
  <si>
    <t>Kolkata</t>
  </si>
  <si>
    <t>DEHRADUN</t>
  </si>
  <si>
    <t>UTTARAKHAND</t>
  </si>
  <si>
    <t>Socks</t>
  </si>
  <si>
    <t>DHARMAPURI</t>
  </si>
  <si>
    <t>VADODARA</t>
  </si>
  <si>
    <t>CHAVAKKAD</t>
  </si>
  <si>
    <t>PATNA</t>
  </si>
  <si>
    <t>BIHAR</t>
  </si>
  <si>
    <t>Jammu</t>
  </si>
  <si>
    <t>JAMMU &amp; KASHMIR</t>
  </si>
  <si>
    <t>NARNAUND</t>
  </si>
  <si>
    <t>Ahmedabad</t>
  </si>
  <si>
    <t>AMBARNATH</t>
  </si>
  <si>
    <t>GWALIOR</t>
  </si>
  <si>
    <t>ROHTAK</t>
  </si>
  <si>
    <t>RAMAGUNDAM</t>
  </si>
  <si>
    <t>PITHORAGARH</t>
  </si>
  <si>
    <t>Unshipped</t>
  </si>
  <si>
    <t>GUWAHATI, KAMRUP (M)</t>
  </si>
  <si>
    <t>KOLAR</t>
  </si>
  <si>
    <t>PATIALA</t>
  </si>
  <si>
    <t>PUNJAB</t>
  </si>
  <si>
    <t>REWA</t>
  </si>
  <si>
    <t>BONGAIGAON</t>
  </si>
  <si>
    <t>Chengalpattu</t>
  </si>
  <si>
    <t>PERAMBALUR</t>
  </si>
  <si>
    <t>HIMACHAL PRADESH</t>
  </si>
  <si>
    <t>VARANASI</t>
  </si>
  <si>
    <t>COIMBATORE</t>
  </si>
  <si>
    <t>CHIRMIRI</t>
  </si>
  <si>
    <t>KALYAN</t>
  </si>
  <si>
    <t>MYSORE</t>
  </si>
  <si>
    <t>BARABANKI</t>
  </si>
  <si>
    <t>AMILA</t>
  </si>
  <si>
    <t>VIJAYAWADA</t>
  </si>
  <si>
    <t>RAWAN AMBUJA CEMENT PLANT</t>
  </si>
  <si>
    <t>HERBERTPUR</t>
  </si>
  <si>
    <t>KALAMASSERY</t>
  </si>
  <si>
    <t>TIKABALI</t>
  </si>
  <si>
    <t>BIHARSHARIF</t>
  </si>
  <si>
    <t>PARAVUR</t>
  </si>
  <si>
    <t>BASTI</t>
  </si>
  <si>
    <t>WALAJAPET</t>
  </si>
  <si>
    <t>Dimapur</t>
  </si>
  <si>
    <t>Mahendragarh</t>
  </si>
  <si>
    <t>New Delhi</t>
  </si>
  <si>
    <t>GURUGRAM</t>
  </si>
  <si>
    <t>BIJNOR</t>
  </si>
  <si>
    <t>ALLAHABAD</t>
  </si>
  <si>
    <t>VASAI VIRAR</t>
  </si>
  <si>
    <t>MANGALURU</t>
  </si>
  <si>
    <t>NEW TOWN</t>
  </si>
  <si>
    <t>SAMBHAL</t>
  </si>
  <si>
    <t>ELAVANASURKOTTAI</t>
  </si>
  <si>
    <t>SANGLI MIRAJ KUPWAD</t>
  </si>
  <si>
    <t>MYSURU</t>
  </si>
  <si>
    <t>ANKLESHWR</t>
  </si>
  <si>
    <t>Greater Noida West</t>
  </si>
  <si>
    <t>JAMMU</t>
  </si>
  <si>
    <t>ITANAGAR</t>
  </si>
  <si>
    <t>ARUNACHAL PRADESH</t>
  </si>
  <si>
    <t>BIDHAN NAGAR</t>
  </si>
  <si>
    <t>AHMEDABAD</t>
  </si>
  <si>
    <t>BHUBANESWAR</t>
  </si>
  <si>
    <t>ALIGARH</t>
  </si>
  <si>
    <t>KOCHI</t>
  </si>
  <si>
    <t>Bangalore</t>
  </si>
  <si>
    <t>MALAPPURAM</t>
  </si>
  <si>
    <t>SIBSAGAR</t>
  </si>
  <si>
    <t>GAYA</t>
  </si>
  <si>
    <t>KOLLAM</t>
  </si>
  <si>
    <t>PERALASSERI</t>
  </si>
  <si>
    <t>UDUPI</t>
  </si>
  <si>
    <t>MARIANI</t>
  </si>
  <si>
    <t>Shipped - Returned to Seller</t>
  </si>
  <si>
    <t>COOCH BEHAR</t>
  </si>
  <si>
    <t>JHARIA KHAS</t>
  </si>
  <si>
    <t>Secunderabad</t>
  </si>
  <si>
    <t>5XL</t>
  </si>
  <si>
    <t>UDAIPUR</t>
  </si>
  <si>
    <t>BHAGALPUR</t>
  </si>
  <si>
    <t>BERHAMPORE</t>
  </si>
  <si>
    <t>Dehradun</t>
  </si>
  <si>
    <t>SEONI</t>
  </si>
  <si>
    <t>Agra</t>
  </si>
  <si>
    <t>Nermand</t>
  </si>
  <si>
    <t>KAMAREDDY</t>
  </si>
  <si>
    <t>SRINAGAR</t>
  </si>
  <si>
    <t>MUDDEBIHAL</t>
  </si>
  <si>
    <t>SANTHAMAGULURU MANDAL</t>
  </si>
  <si>
    <t>Hyderabad</t>
  </si>
  <si>
    <t>KOLKATA 700034</t>
  </si>
  <si>
    <t>kolkata</t>
  </si>
  <si>
    <t>BARUIPUR</t>
  </si>
  <si>
    <t>KENDRAPARA</t>
  </si>
  <si>
    <t>NASHIK</t>
  </si>
  <si>
    <t>HOSHIARPUR</t>
  </si>
  <si>
    <t>BARSHI</t>
  </si>
  <si>
    <t>CHANDI MANDIR</t>
  </si>
  <si>
    <t>ujjain</t>
  </si>
  <si>
    <t>Haldwani</t>
  </si>
  <si>
    <t>Uttarkashi</t>
  </si>
  <si>
    <t>Old Goa</t>
  </si>
  <si>
    <t>Goa</t>
  </si>
  <si>
    <t>MAHESHWAR</t>
  </si>
  <si>
    <t>HARDOI</t>
  </si>
  <si>
    <t>SHILLONG</t>
  </si>
  <si>
    <t>MEGHALAYA</t>
  </si>
  <si>
    <t>DHAMNOD DHAR DISTRICT</t>
  </si>
  <si>
    <t>CHAKDAHA</t>
  </si>
  <si>
    <t>CHIKKAMAGALURU</t>
  </si>
  <si>
    <t>MALDA</t>
  </si>
  <si>
    <t>DIMAPUR</t>
  </si>
  <si>
    <t>Nellore</t>
  </si>
  <si>
    <t>CUNCOLIM</t>
  </si>
  <si>
    <t>GOA</t>
  </si>
  <si>
    <t>trivandrum</t>
  </si>
  <si>
    <t>KANPUR</t>
  </si>
  <si>
    <t>CHINNALAPATTI</t>
  </si>
  <si>
    <t>BARRACKPORE</t>
  </si>
  <si>
    <t>Dombivali  east</t>
  </si>
  <si>
    <t>New delhi</t>
  </si>
  <si>
    <t>Pune</t>
  </si>
  <si>
    <t>Pathanapuram</t>
  </si>
  <si>
    <t>JAUNPUR</t>
  </si>
  <si>
    <t>MAHBUBNAGAR</t>
  </si>
  <si>
    <t>Nk sweets Vikasnagar</t>
  </si>
  <si>
    <t>DARJEELING</t>
  </si>
  <si>
    <t>LUDHIANA</t>
  </si>
  <si>
    <t>MUZAFFARPUR</t>
  </si>
  <si>
    <t>Sonbhadra</t>
  </si>
  <si>
    <t>KAKINADA</t>
  </si>
  <si>
    <t>HALDIA</t>
  </si>
  <si>
    <t>Tivim</t>
  </si>
  <si>
    <t>MANDVI KACHCHH DISTRICT</t>
  </si>
  <si>
    <t>SAMBALPUR</t>
  </si>
  <si>
    <t>KANNIYAKUMARI</t>
  </si>
  <si>
    <t>PURNIA</t>
  </si>
  <si>
    <t>TADEPALLIGUDEM</t>
  </si>
  <si>
    <t>Ghaziabad</t>
  </si>
  <si>
    <t>JORHAT</t>
  </si>
  <si>
    <t>RAMANAGARA</t>
  </si>
  <si>
    <t>Vijayapur</t>
  </si>
  <si>
    <t>Shipped - Rejected by Buyer</t>
  </si>
  <si>
    <t>BOKARO STEEL CITY</t>
  </si>
  <si>
    <t>KHAMMAM</t>
  </si>
  <si>
    <t>Shoes</t>
  </si>
  <si>
    <t>AURANGABAD</t>
  </si>
  <si>
    <t>GADARWARA</t>
  </si>
  <si>
    <t>SHIRDI</t>
  </si>
  <si>
    <t>VELLORE</t>
  </si>
  <si>
    <t>noida</t>
  </si>
  <si>
    <t>Mangaluru</t>
  </si>
  <si>
    <t>SINGRAULI</t>
  </si>
  <si>
    <t>KENDUJHAR</t>
  </si>
  <si>
    <t>Wallet</t>
  </si>
  <si>
    <t>Nerul</t>
  </si>
  <si>
    <t>IMPHAL</t>
  </si>
  <si>
    <t>MANIPUR</t>
  </si>
  <si>
    <t>Chikkaballapur</t>
  </si>
  <si>
    <t>Andul near maya stores</t>
  </si>
  <si>
    <t>Mumbai</t>
  </si>
  <si>
    <t>SURAT</t>
  </si>
  <si>
    <t>CHITTOOR</t>
  </si>
  <si>
    <t>KADUR</t>
  </si>
  <si>
    <t>SURATGARH</t>
  </si>
  <si>
    <t>DINANAGAR</t>
  </si>
  <si>
    <t>ARAKANDANALLUR</t>
  </si>
  <si>
    <t>BHOPAL</t>
  </si>
  <si>
    <t>GURGAON</t>
  </si>
  <si>
    <t>BHANJANAGAR</t>
  </si>
  <si>
    <t>MADHURAWADA</t>
  </si>
  <si>
    <t>ALMORA</t>
  </si>
  <si>
    <t>PRODDATUR</t>
  </si>
  <si>
    <t>FAIZABAD</t>
  </si>
  <si>
    <t>BHIWADI</t>
  </si>
  <si>
    <t>BANGALORE</t>
  </si>
  <si>
    <t>Malda</t>
  </si>
  <si>
    <t>GUNTUR</t>
  </si>
  <si>
    <t>ROORKEE</t>
  </si>
  <si>
    <t>Golabandha</t>
  </si>
  <si>
    <t>BHATPARA</t>
  </si>
  <si>
    <t>Palampur</t>
  </si>
  <si>
    <t>PICHHORE SHIVPURI DISTRICT</t>
  </si>
  <si>
    <t>Order Number</t>
  </si>
  <si>
    <t>Ship Service</t>
  </si>
  <si>
    <t>NUMBER OF ORDER RECEVIED</t>
  </si>
  <si>
    <t>TOTAL NUMBER OF PRODUCT SOLD</t>
  </si>
  <si>
    <t>AVERAGE OF TOTAL SALE</t>
  </si>
  <si>
    <t>NUMBER OF SHIPPED ITEM</t>
  </si>
  <si>
    <t>AVEARGE SALE OF TAMIL NADU REGION</t>
  </si>
  <si>
    <t>Row Labels</t>
  </si>
  <si>
    <t>Grand Total</t>
  </si>
  <si>
    <t>Sum of Amount</t>
  </si>
  <si>
    <t>Sum of Qty</t>
  </si>
  <si>
    <t>City-</t>
  </si>
  <si>
    <t>State</t>
  </si>
  <si>
    <t>Count of Fulfilment</t>
  </si>
  <si>
    <t>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</si>
</sst>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u/>
      <sz val="2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0" fillId="0" borderId="0" xfId="0" applyNumberFormat="1"/>
    <xf numFmtId="0" fontId="0" fillId="33" borderId="10" xfId="0" applyFill="1" applyBorder="1"/>
    <xf numFmtId="1" fontId="0" fillId="33" borderId="10" xfId="0" applyNumberFormat="1" applyFill="1" applyBorder="1"/>
    <xf numFmtId="0" fontId="16" fillId="33" borderId="10" xfId="0" applyFont="1" applyFill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0" xfId="0" pivotButton="1"/>
    <xf numFmtId="0" fontId="0" fillId="0" borderId="0" xfId="0" applyAlignment="1">
      <alignment horizontal="left"/>
    </xf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5" Type="http://schemas.openxmlformats.org/officeDocument/2006/relationships/powerPivotData" Target="model/item.data"/><Relationship Id="rId10" Type="http://schemas.openxmlformats.org/officeDocument/2006/relationships/pivotCacheDefinition" Target="pivotCache/pivotCacheDefinition6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 Report.csv.xlsx]PIVOT!PivotTable4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SHIPMENT</a:t>
            </a:r>
            <a:r>
              <a:rPr lang="en-US" baseline="0"/>
              <a:t> SERVICE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PIVOT!$E$12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PIVOT!$D$13:$D$15</c:f>
              <c:strCache>
                <c:ptCount val="2"/>
                <c:pt idx="0">
                  <c:v>Expedited</c:v>
                </c:pt>
                <c:pt idx="1">
                  <c:v>Standard</c:v>
                </c:pt>
              </c:strCache>
            </c:strRef>
          </c:cat>
          <c:val>
            <c:numRef>
              <c:f>PIVOT!$E$13:$E$15</c:f>
              <c:numCache>
                <c:formatCode>General</c:formatCode>
                <c:ptCount val="2"/>
                <c:pt idx="0">
                  <c:v>386</c:v>
                </c:pt>
                <c:pt idx="1">
                  <c:v>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3D-4FE0-A189-80CFA398DB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5290416"/>
        <c:axId val="425318736"/>
      </c:barChart>
      <c:catAx>
        <c:axId val="425290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318736"/>
        <c:crosses val="autoZero"/>
        <c:auto val="1"/>
        <c:lblAlgn val="ctr"/>
        <c:lblOffset val="100"/>
        <c:noMultiLvlLbl val="0"/>
      </c:catAx>
      <c:valAx>
        <c:axId val="425318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290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 Report.csv.xlsx]PIVOT!PivotTable6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rich>
      </c:tx>
      <c:layout>
        <c:manualLayout>
          <c:xMode val="edge"/>
          <c:yMode val="edge"/>
          <c:x val="0.58888188976377953"/>
          <c:y val="4.99052201808107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PIVOT!$B$15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PIVOT!$A$16:$A$18</c:f>
              <c:strCache>
                <c:ptCount val="2"/>
                <c:pt idx="0">
                  <c:v>Amazon</c:v>
                </c:pt>
                <c:pt idx="1">
                  <c:v>Merchant</c:v>
                </c:pt>
              </c:strCache>
            </c:strRef>
          </c:cat>
          <c:val>
            <c:numRef>
              <c:f>PIVOT!$B$16:$B$18</c:f>
              <c:numCache>
                <c:formatCode>General</c:formatCode>
                <c:ptCount val="2"/>
                <c:pt idx="0">
                  <c:v>392</c:v>
                </c:pt>
                <c:pt idx="1">
                  <c:v>126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7C-40D8-A640-E050321E7E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5862288"/>
        <c:axId val="445863248"/>
      </c:lineChart>
      <c:catAx>
        <c:axId val="445862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863248"/>
        <c:crosses val="autoZero"/>
        <c:auto val="1"/>
        <c:lblAlgn val="ctr"/>
        <c:lblOffset val="100"/>
        <c:noMultiLvlLbl val="0"/>
      </c:catAx>
      <c:valAx>
        <c:axId val="445863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862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 Report.csv.xlsx]PIVOT!PivotTable5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STATE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PIVOT!$H$3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PIVOT!$G$4:$G$33</c:f>
              <c:strCache>
                <c:ptCount val="29"/>
                <c:pt idx="0">
                  <c:v>ANDHRA PRADESH</c:v>
                </c:pt>
                <c:pt idx="1">
                  <c:v>ARUNACHAL PRADESH</c:v>
                </c:pt>
                <c:pt idx="2">
                  <c:v>ASSAM</c:v>
                </c:pt>
                <c:pt idx="3">
                  <c:v>BIHAR</c:v>
                </c:pt>
                <c:pt idx="4">
                  <c:v>CHANDIGARH</c:v>
                </c:pt>
                <c:pt idx="5">
                  <c:v>CHHATTISGARH</c:v>
                </c:pt>
                <c:pt idx="6">
                  <c:v>DELHI</c:v>
                </c:pt>
                <c:pt idx="7">
                  <c:v>Goa</c:v>
                </c:pt>
                <c:pt idx="8">
                  <c:v>Gujarat</c:v>
                </c:pt>
                <c:pt idx="9">
                  <c:v>HARYANA</c:v>
                </c:pt>
                <c:pt idx="10">
                  <c:v>HIMACHAL PRADESH</c:v>
                </c:pt>
                <c:pt idx="11">
                  <c:v>JAMMU &amp; KASHMIR</c:v>
                </c:pt>
                <c:pt idx="12">
                  <c:v>JHARKHAND</c:v>
                </c:pt>
                <c:pt idx="13">
                  <c:v>KARNATAKA</c:v>
                </c:pt>
                <c:pt idx="14">
                  <c:v>KERALA</c:v>
                </c:pt>
                <c:pt idx="15">
                  <c:v>MADHYA PRADESH</c:v>
                </c:pt>
                <c:pt idx="16">
                  <c:v>MAHARASHTRA</c:v>
                </c:pt>
                <c:pt idx="17">
                  <c:v>MANIPUR</c:v>
                </c:pt>
                <c:pt idx="18">
                  <c:v>MEGHALAYA</c:v>
                </c:pt>
                <c:pt idx="19">
                  <c:v>NAGALAND</c:v>
                </c:pt>
                <c:pt idx="20">
                  <c:v>ODISHA</c:v>
                </c:pt>
                <c:pt idx="21">
                  <c:v>PUDUCHERRY</c:v>
                </c:pt>
                <c:pt idx="22">
                  <c:v>PUNJAB</c:v>
                </c:pt>
                <c:pt idx="23">
                  <c:v>RAJASTHAN</c:v>
                </c:pt>
                <c:pt idx="24">
                  <c:v>TAMIL NADU</c:v>
                </c:pt>
                <c:pt idx="25">
                  <c:v>TELANGANA</c:v>
                </c:pt>
                <c:pt idx="26">
                  <c:v>UTTAR PRADESH</c:v>
                </c:pt>
                <c:pt idx="27">
                  <c:v>UTTARAKHAND</c:v>
                </c:pt>
                <c:pt idx="28">
                  <c:v>WEST BENGAL</c:v>
                </c:pt>
              </c:strCache>
            </c:strRef>
          </c:cat>
          <c:val>
            <c:numRef>
              <c:f>PIVOT!$H$4:$H$33</c:f>
              <c:numCache>
                <c:formatCode>General</c:formatCode>
                <c:ptCount val="29"/>
                <c:pt idx="0">
                  <c:v>19</c:v>
                </c:pt>
                <c:pt idx="1">
                  <c:v>1</c:v>
                </c:pt>
                <c:pt idx="2">
                  <c:v>10</c:v>
                </c:pt>
                <c:pt idx="3">
                  <c:v>12</c:v>
                </c:pt>
                <c:pt idx="4">
                  <c:v>1</c:v>
                </c:pt>
                <c:pt idx="5">
                  <c:v>3</c:v>
                </c:pt>
                <c:pt idx="6">
                  <c:v>23</c:v>
                </c:pt>
                <c:pt idx="7">
                  <c:v>4</c:v>
                </c:pt>
                <c:pt idx="8">
                  <c:v>13</c:v>
                </c:pt>
                <c:pt idx="9">
                  <c:v>13</c:v>
                </c:pt>
                <c:pt idx="10">
                  <c:v>3</c:v>
                </c:pt>
                <c:pt idx="11">
                  <c:v>4</c:v>
                </c:pt>
                <c:pt idx="12">
                  <c:v>7</c:v>
                </c:pt>
                <c:pt idx="13">
                  <c:v>79</c:v>
                </c:pt>
                <c:pt idx="14">
                  <c:v>12</c:v>
                </c:pt>
                <c:pt idx="15">
                  <c:v>15</c:v>
                </c:pt>
                <c:pt idx="16">
                  <c:v>78</c:v>
                </c:pt>
                <c:pt idx="17">
                  <c:v>1</c:v>
                </c:pt>
                <c:pt idx="18">
                  <c:v>2</c:v>
                </c:pt>
                <c:pt idx="19">
                  <c:v>3</c:v>
                </c:pt>
                <c:pt idx="20">
                  <c:v>14</c:v>
                </c:pt>
                <c:pt idx="21">
                  <c:v>5</c:v>
                </c:pt>
                <c:pt idx="22">
                  <c:v>5</c:v>
                </c:pt>
                <c:pt idx="23">
                  <c:v>7</c:v>
                </c:pt>
                <c:pt idx="24">
                  <c:v>38</c:v>
                </c:pt>
                <c:pt idx="25">
                  <c:v>57</c:v>
                </c:pt>
                <c:pt idx="26">
                  <c:v>48</c:v>
                </c:pt>
                <c:pt idx="27">
                  <c:v>13</c:v>
                </c:pt>
                <c:pt idx="28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70-40C4-ADE4-FC85CB1185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5282256"/>
        <c:axId val="425296656"/>
      </c:areaChart>
      <c:catAx>
        <c:axId val="4252822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296656"/>
        <c:crosses val="autoZero"/>
        <c:auto val="1"/>
        <c:lblAlgn val="ctr"/>
        <c:lblOffset val="100"/>
        <c:noMultiLvlLbl val="0"/>
      </c:catAx>
      <c:valAx>
        <c:axId val="425296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2822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 Report.csv.xlsx]PIVOT!PivotTable3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SHIPMENT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PIVOT!$E$3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3CD-452D-9E37-C79DEE1AE1A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3CD-452D-9E37-C79DEE1AE1A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3CD-452D-9E37-C79DEE1AE1A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3CD-452D-9E37-C79DEE1AE1A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3CD-452D-9E37-C79DEE1AE1A0}"/>
              </c:ext>
            </c:extLst>
          </c:dPt>
          <c:cat>
            <c:strRef>
              <c:f>PIVOT!$D$4:$D$9</c:f>
              <c:strCache>
                <c:ptCount val="5"/>
                <c:pt idx="0">
                  <c:v>Cancelled</c:v>
                </c:pt>
                <c:pt idx="1">
                  <c:v>Shipped</c:v>
                </c:pt>
                <c:pt idx="2">
                  <c:v>Shipped - Delivered to Buyer</c:v>
                </c:pt>
                <c:pt idx="3">
                  <c:v>Shipped - Rejected by Buyer</c:v>
                </c:pt>
                <c:pt idx="4">
                  <c:v>Shipped - Returned to Seller</c:v>
                </c:pt>
              </c:strCache>
            </c:strRef>
          </c:cat>
          <c:val>
            <c:numRef>
              <c:f>PIVOT!$E$4:$E$9</c:f>
              <c:numCache>
                <c:formatCode>General</c:formatCode>
                <c:ptCount val="5"/>
                <c:pt idx="0">
                  <c:v>36</c:v>
                </c:pt>
                <c:pt idx="1">
                  <c:v>372</c:v>
                </c:pt>
                <c:pt idx="2">
                  <c:v>88</c:v>
                </c:pt>
                <c:pt idx="3">
                  <c:v>1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3CD-452D-9E37-C79DEE1AE1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 Report.csv.xlsx]PIVOT!PivotTable1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PIVOT!$A$4:$A$12</c:f>
              <c:strCache>
                <c:ptCount val="8"/>
                <c:pt idx="0">
                  <c:v>Blazzer</c:v>
                </c:pt>
                <c:pt idx="1">
                  <c:v>Perfume</c:v>
                </c:pt>
                <c:pt idx="2">
                  <c:v>Shirt</c:v>
                </c:pt>
                <c:pt idx="3">
                  <c:v>Shoes</c:v>
                </c:pt>
                <c:pt idx="4">
                  <c:v>Socks</c:v>
                </c:pt>
                <c:pt idx="5">
                  <c:v>Trousers</c:v>
                </c:pt>
                <c:pt idx="6">
                  <c:v>T-shirt</c:v>
                </c:pt>
                <c:pt idx="7">
                  <c:v>Wallet</c:v>
                </c:pt>
              </c:strCache>
            </c:strRef>
          </c:cat>
          <c:val>
            <c:numRef>
              <c:f>PIVOT!$B$4:$B$12</c:f>
              <c:numCache>
                <c:formatCode>General</c:formatCode>
                <c:ptCount val="8"/>
                <c:pt idx="0">
                  <c:v>33800</c:v>
                </c:pt>
                <c:pt idx="1">
                  <c:v>2443</c:v>
                </c:pt>
                <c:pt idx="2">
                  <c:v>91704</c:v>
                </c:pt>
                <c:pt idx="3">
                  <c:v>620</c:v>
                </c:pt>
                <c:pt idx="4">
                  <c:v>377</c:v>
                </c:pt>
                <c:pt idx="5">
                  <c:v>17974</c:v>
                </c:pt>
                <c:pt idx="6">
                  <c:v>162033</c:v>
                </c:pt>
                <c:pt idx="7">
                  <c:v>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26-4205-BBD3-DEC272E9C2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7502223"/>
        <c:axId val="387504623"/>
      </c:barChart>
      <c:catAx>
        <c:axId val="387502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504623"/>
        <c:crosses val="autoZero"/>
        <c:auto val="1"/>
        <c:lblAlgn val="ctr"/>
        <c:lblOffset val="100"/>
        <c:noMultiLvlLbl val="0"/>
      </c:catAx>
      <c:valAx>
        <c:axId val="3875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502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1</xdr:row>
      <xdr:rowOff>175260</xdr:rowOff>
    </xdr:from>
    <xdr:to>
      <xdr:col>7</xdr:col>
      <xdr:colOff>182880</xdr:colOff>
      <xdr:row>14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D74E17-D4EA-4E16-BA5B-69AACF1631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312420</xdr:colOff>
      <xdr:row>2</xdr:row>
      <xdr:rowOff>7620</xdr:rowOff>
    </xdr:from>
    <xdr:to>
      <xdr:col>14</xdr:col>
      <xdr:colOff>289560</xdr:colOff>
      <xdr:row>15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3789D03-761E-477D-BF6C-2D9BA9624E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472440</xdr:colOff>
      <xdr:row>2</xdr:row>
      <xdr:rowOff>7620</xdr:rowOff>
    </xdr:from>
    <xdr:to>
      <xdr:col>22</xdr:col>
      <xdr:colOff>190500</xdr:colOff>
      <xdr:row>15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9900DF5-B381-411F-A7E5-EC26C1C502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22860</xdr:colOff>
      <xdr:row>15</xdr:row>
      <xdr:rowOff>38100</xdr:rowOff>
    </xdr:from>
    <xdr:to>
      <xdr:col>8</xdr:col>
      <xdr:colOff>342900</xdr:colOff>
      <xdr:row>27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25CDC04-26BF-40AA-A6C9-35C535F2E9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426720</xdr:colOff>
      <xdr:row>14</xdr:row>
      <xdr:rowOff>160020</xdr:rowOff>
    </xdr:from>
    <xdr:to>
      <xdr:col>16</xdr:col>
      <xdr:colOff>53340</xdr:colOff>
      <xdr:row>27</xdr:row>
      <xdr:rowOff>30480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F7109EF-CB91-483B-B031-6DBD79C296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asiomart" refreshedDate="46092.124781365739" backgroundQuery="1" createdVersion="8" refreshedVersion="8" minRefreshableVersion="3" recordCount="0" supportSubquery="1" supportAdvancedDrill="1" xr:uid="{2125BD0E-A4E5-413F-A245-E49368BAB5D9}">
  <cacheSource type="external" connectionId="2"/>
  <cacheFields count="2">
    <cacheField name="[amzn_2].[Status].[Status]" caption="Status" numFmtId="0" hierarchy="14" level="1">
      <sharedItems count="5">
        <s v="Cancelled"/>
        <s v="Shipped"/>
        <s v="Shipped - Delivered to Buyer"/>
        <s v="Shipped - Rejected by Buyer"/>
        <s v="Shipped - Returned to Seller"/>
      </sharedItems>
    </cacheField>
    <cacheField name="[Measures].[Count of Fulfilment]" caption="Count of Fulfilment" numFmtId="0" hierarchy="33" level="32767"/>
  </cacheFields>
  <cacheHierarchies count="35">
    <cacheHierarchy uniqueName="[amzn_1].[Order Number]" caption="Order Number" attribute="1" defaultMemberUniqueName="[amzn_1].[Order Number].[All]" allUniqueName="[amzn_1].[Order Number].[All]" dimensionUniqueName="[amzn_1]" displayFolder="" count="0" memberValueDatatype="20" unbalanced="0"/>
    <cacheHierarchy uniqueName="[amzn_1].[Status]" caption="Status" attribute="1" defaultMemberUniqueName="[amzn_1].[Status].[All]" allUniqueName="[amzn_1].[Status].[All]" dimensionUniqueName="[amzn_1]" displayFolder="" count="0" memberValueDatatype="130" unbalanced="0"/>
    <cacheHierarchy uniqueName="[amzn_1].[Fulfilment]" caption="Fulfilment" attribute="1" defaultMemberUniqueName="[amzn_1].[Fulfilment].[All]" allUniqueName="[amzn_1].[Fulfilment].[All]" dimensionUniqueName="[amzn_1]" displayFolder="" count="0" memberValueDatatype="130" unbalanced="0"/>
    <cacheHierarchy uniqueName="[amzn_1].[Ship Service]" caption="Ship Service" attribute="1" defaultMemberUniqueName="[amzn_1].[Ship Service].[All]" allUniqueName="[amzn_1].[Ship Service].[All]" dimensionUniqueName="[amzn_1]" displayFolder="" count="0" memberValueDatatype="130" unbalanced="0"/>
    <cacheHierarchy uniqueName="[amzn_1].[Category]" caption="Category" attribute="1" defaultMemberUniqueName="[amzn_1].[Category].[All]" allUniqueName="[amzn_1].[Category].[All]" dimensionUniqueName="[amzn_1]" displayFolder="" count="0" memberValueDatatype="130" unbalanced="0"/>
    <cacheHierarchy uniqueName="[amzn_1].[Size]" caption="Size" attribute="1" defaultMemberUniqueName="[amzn_1].[Size].[All]" allUniqueName="[amzn_1].[Size].[All]" dimensionUniqueName="[amzn_1]" displayFolder="" count="0" memberValueDatatype="130" unbalanced="0"/>
    <cacheHierarchy uniqueName="[amzn_1].[Courier Status]" caption="Courier Status" attribute="1" defaultMemberUniqueName="[amzn_1].[Courier Status].[All]" allUniqueName="[amzn_1].[Courier Status].[All]" dimensionUniqueName="[amzn_1]" displayFolder="" count="0" memberValueDatatype="130" unbalanced="0"/>
    <cacheHierarchy uniqueName="[amzn_1].[Qty]" caption="Qty" attribute="1" defaultMemberUniqueName="[amzn_1].[Qty].[All]" allUniqueName="[amzn_1].[Qty].[All]" dimensionUniqueName="[amzn_1]" displayFolder="" count="0" memberValueDatatype="20" unbalanced="0"/>
    <cacheHierarchy uniqueName="[amzn_1].[currency]" caption="currency" attribute="1" defaultMemberUniqueName="[amzn_1].[currency].[All]" allUniqueName="[amzn_1].[currency].[All]" dimensionUniqueName="[amzn_1]" displayFolder="" count="0" memberValueDatatype="130" unbalanced="0"/>
    <cacheHierarchy uniqueName="[amzn_1].[Amount]" caption="Amount" attribute="1" defaultMemberUniqueName="[amzn_1].[Amount].[All]" allUniqueName="[amzn_1].[Amount].[All]" dimensionUniqueName="[amzn_1]" displayFolder="" count="0" memberValueDatatype="20" unbalanced="0"/>
    <cacheHierarchy uniqueName="[amzn_1].[City-State]" caption="City-State" attribute="1" defaultMemberUniqueName="[amzn_1].[City-State].[All]" allUniqueName="[amzn_1].[City-State].[All]" dimensionUniqueName="[amzn_1]" displayFolder="" count="0" memberValueDatatype="130" unbalanced="0"/>
    <cacheHierarchy uniqueName="[amzn_1].[ship-postal-code]" caption="ship-postal-code" attribute="1" defaultMemberUniqueName="[amzn_1].[ship-postal-code].[All]" allUniqueName="[amzn_1].[ship-postal-code].[All]" dimensionUniqueName="[amzn_1]" displayFolder="" count="0" memberValueDatatype="20" unbalanced="0"/>
    <cacheHierarchy uniqueName="[amzn_1].[ship-country]" caption="ship-country" attribute="1" defaultMemberUniqueName="[amzn_1].[ship-country].[All]" allUniqueName="[amzn_1].[ship-country].[All]" dimensionUniqueName="[amzn_1]" displayFolder="" count="0" memberValueDatatype="130" unbalanced="0"/>
    <cacheHierarchy uniqueName="[amzn_2].[Order Number]" caption="Order Number" attribute="1" defaultMemberUniqueName="[amzn_2].[Order Number].[All]" allUniqueName="[amzn_2].[Order Number].[All]" dimensionUniqueName="[amzn_2]" displayFolder="" count="0" memberValueDatatype="20" unbalanced="0"/>
    <cacheHierarchy uniqueName="[amzn_2].[Status]" caption="Status" attribute="1" defaultMemberUniqueName="[amzn_2].[Status].[All]" allUniqueName="[amzn_2].[Status].[All]" dimensionUniqueName="[amzn_2]" displayFolder="" count="2" memberValueDatatype="130" unbalanced="0">
      <fieldsUsage count="2">
        <fieldUsage x="-1"/>
        <fieldUsage x="0"/>
      </fieldsUsage>
    </cacheHierarchy>
    <cacheHierarchy uniqueName="[amzn_2].[Fulfilment]" caption="Fulfilment" attribute="1" defaultMemberUniqueName="[amzn_2].[Fulfilment].[All]" allUniqueName="[amzn_2].[Fulfilment].[All]" dimensionUniqueName="[amzn_2]" displayFolder="" count="0" memberValueDatatype="130" unbalanced="0"/>
    <cacheHierarchy uniqueName="[amzn_2].[Ship Service]" caption="Ship Service" attribute="1" defaultMemberUniqueName="[amzn_2].[Ship Service].[All]" allUniqueName="[amzn_2].[Ship Service].[All]" dimensionUniqueName="[amzn_2]" displayFolder="" count="0" memberValueDatatype="130" unbalanced="0"/>
    <cacheHierarchy uniqueName="[amzn_2].[Category]" caption="Category" attribute="1" defaultMemberUniqueName="[amzn_2].[Category].[All]" allUniqueName="[amzn_2].[Category].[All]" dimensionUniqueName="[amzn_2]" displayFolder="" count="0" memberValueDatatype="130" unbalanced="0"/>
    <cacheHierarchy uniqueName="[amzn_2].[Size]" caption="Size" attribute="1" defaultMemberUniqueName="[amzn_2].[Size].[All]" allUniqueName="[amzn_2].[Size].[All]" dimensionUniqueName="[amzn_2]" displayFolder="" count="0" memberValueDatatype="130" unbalanced="0"/>
    <cacheHierarchy uniqueName="[amzn_2].[Courier Status]" caption="Courier Status" attribute="1" defaultMemberUniqueName="[amzn_2].[Courier Status].[All]" allUniqueName="[amzn_2].[Courier Status].[All]" dimensionUniqueName="[amzn_2]" displayFolder="" count="0" memberValueDatatype="130" unbalanced="0"/>
    <cacheHierarchy uniqueName="[amzn_2].[Qty]" caption="Qty" attribute="1" defaultMemberUniqueName="[amzn_2].[Qty].[All]" allUniqueName="[amzn_2].[Qty].[All]" dimensionUniqueName="[amzn_2]" displayFolder="" count="0" memberValueDatatype="20" unbalanced="0"/>
    <cacheHierarchy uniqueName="[amzn_2].[currency]" caption="currency" attribute="1" defaultMemberUniqueName="[amzn_2].[currency].[All]" allUniqueName="[amzn_2].[currency].[All]" dimensionUniqueName="[amzn_2]" displayFolder="" count="0" memberValueDatatype="130" unbalanced="0"/>
    <cacheHierarchy uniqueName="[amzn_2].[Amount]" caption="Amount" attribute="1" defaultMemberUniqueName="[amzn_2].[Amount].[All]" allUniqueName="[amzn_2].[Amount].[All]" dimensionUniqueName="[amzn_2]" displayFolder="" count="0" memberValueDatatype="20" unbalanced="0"/>
    <cacheHierarchy uniqueName="[amzn_2].[City-]" caption="City-" attribute="1" defaultMemberUniqueName="[amzn_2].[City-].[All]" allUniqueName="[amzn_2].[City-].[All]" dimensionUniqueName="[amzn_2]" displayFolder="" count="0" memberValueDatatype="130" unbalanced="0"/>
    <cacheHierarchy uniqueName="[amzn_2].[State]" caption="State" attribute="1" defaultMemberUniqueName="[amzn_2].[State].[All]" allUniqueName="[amzn_2].[State].[All]" dimensionUniqueName="[amzn_2]" displayFolder="" count="0" memberValueDatatype="130" unbalanced="0"/>
    <cacheHierarchy uniqueName="[amzn_2].[ship-postal-code]" caption="ship-postal-code" attribute="1" defaultMemberUniqueName="[amzn_2].[ship-postal-code].[All]" allUniqueName="[amzn_2].[ship-postal-code].[All]" dimensionUniqueName="[amzn_2]" displayFolder="" count="0" memberValueDatatype="20" unbalanced="0"/>
    <cacheHierarchy uniqueName="[amzn_2].[ship-country]" caption="ship-country" attribute="1" defaultMemberUniqueName="[amzn_2].[ship-country].[All]" allUniqueName="[amzn_2].[ship-country].[All]" dimensionUniqueName="[amzn_2]" displayFolder="" count="0" memberValueDatatype="130" unbalanced="0"/>
    <cacheHierarchy uniqueName="[Measures].[__XL_Count amzn_1]" caption="__XL_Count amzn_1" measure="1" displayFolder="" measureGroup="amzn_1" count="0" hidden="1"/>
    <cacheHierarchy uniqueName="[Measures].[__XL_Count amzn_2]" caption="__XL_Count amzn_2" measure="1" displayFolder="" measureGroup="amzn_2" count="0" hidden="1"/>
    <cacheHierarchy uniqueName="[Measures].[__No measures defined]" caption="__No measures defined" measure="1" displayFolder="" count="0" hidden="1"/>
    <cacheHierarchy uniqueName="[Measures].[Sum of Amount]" caption="Sum of Amount" measure="1" displayFolder="" measureGroup="amzn_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Qty]" caption="Sum of Qty" measure="1" displayFolder="" measureGroup="amzn_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Order Number]" caption="Sum of Order Number" measure="1" displayFolder="" measureGroup="amzn_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Fulfilment]" caption="Count of Fulfilment" measure="1" displayFolder="" measureGroup="amzn_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Qty 2]" caption="Sum of Qty 2" measure="1" displayFolder="" measureGroup="amzn_2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3">
    <dimension name="amzn_1" uniqueName="[amzn_1]" caption="amzn_1"/>
    <dimension name="amzn_2" uniqueName="[amzn_2]" caption="amzn_2"/>
    <dimension measure="1" name="Measures" uniqueName="[Measures]" caption="Measures"/>
  </dimensions>
  <measureGroups count="2">
    <measureGroup name="amzn_1" caption="amzn_1"/>
    <measureGroup name="amzn_2" caption="amzn_2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asiomart" refreshedDate="46092.117498726853" backgroundQuery="1" createdVersion="8" refreshedVersion="8" minRefreshableVersion="3" recordCount="0" supportSubquery="1" supportAdvancedDrill="1" xr:uid="{D0ED751E-8501-4740-B2AA-D96540E780BC}">
  <cacheSource type="external" connectionId="2"/>
  <cacheFields count="0"/>
  <cacheHierarchies count="35">
    <cacheHierarchy uniqueName="[amzn_1].[Order Number]" caption="Order Number" attribute="1" defaultMemberUniqueName="[amzn_1].[Order Number].[All]" allUniqueName="[amzn_1].[Order Number].[All]" dimensionUniqueName="[amzn_1]" displayFolder="" count="0" memberValueDatatype="20" unbalanced="0"/>
    <cacheHierarchy uniqueName="[amzn_1].[Status]" caption="Status" attribute="1" defaultMemberUniqueName="[amzn_1].[Status].[All]" allUniqueName="[amzn_1].[Status].[All]" dimensionUniqueName="[amzn_1]" displayFolder="" count="0" memberValueDatatype="130" unbalanced="0"/>
    <cacheHierarchy uniqueName="[amzn_1].[Fulfilment]" caption="Fulfilment" attribute="1" defaultMemberUniqueName="[amzn_1].[Fulfilment].[All]" allUniqueName="[amzn_1].[Fulfilment].[All]" dimensionUniqueName="[amzn_1]" displayFolder="" count="0" memberValueDatatype="130" unbalanced="0"/>
    <cacheHierarchy uniqueName="[amzn_1].[Ship Service]" caption="Ship Service" attribute="1" defaultMemberUniqueName="[amzn_1].[Ship Service].[All]" allUniqueName="[amzn_1].[Ship Service].[All]" dimensionUniqueName="[amzn_1]" displayFolder="" count="0" memberValueDatatype="130" unbalanced="0"/>
    <cacheHierarchy uniqueName="[amzn_1].[Category]" caption="Category" attribute="1" defaultMemberUniqueName="[amzn_1].[Category].[All]" allUniqueName="[amzn_1].[Category].[All]" dimensionUniqueName="[amzn_1]" displayFolder="" count="0" memberValueDatatype="130" unbalanced="0"/>
    <cacheHierarchy uniqueName="[amzn_1].[Size]" caption="Size" attribute="1" defaultMemberUniqueName="[amzn_1].[Size].[All]" allUniqueName="[amzn_1].[Size].[All]" dimensionUniqueName="[amzn_1]" displayFolder="" count="0" memberValueDatatype="130" unbalanced="0"/>
    <cacheHierarchy uniqueName="[amzn_1].[Courier Status]" caption="Courier Status" attribute="1" defaultMemberUniqueName="[amzn_1].[Courier Status].[All]" allUniqueName="[amzn_1].[Courier Status].[All]" dimensionUniqueName="[amzn_1]" displayFolder="" count="0" memberValueDatatype="130" unbalanced="0"/>
    <cacheHierarchy uniqueName="[amzn_1].[Qty]" caption="Qty" attribute="1" defaultMemberUniqueName="[amzn_1].[Qty].[All]" allUniqueName="[amzn_1].[Qty].[All]" dimensionUniqueName="[amzn_1]" displayFolder="" count="0" memberValueDatatype="20" unbalanced="0"/>
    <cacheHierarchy uniqueName="[amzn_1].[currency]" caption="currency" attribute="1" defaultMemberUniqueName="[amzn_1].[currency].[All]" allUniqueName="[amzn_1].[currency].[All]" dimensionUniqueName="[amzn_1]" displayFolder="" count="0" memberValueDatatype="130" unbalanced="0"/>
    <cacheHierarchy uniqueName="[amzn_1].[Amount]" caption="Amount" attribute="1" defaultMemberUniqueName="[amzn_1].[Amount].[All]" allUniqueName="[amzn_1].[Amount].[All]" dimensionUniqueName="[amzn_1]" displayFolder="" count="0" memberValueDatatype="20" unbalanced="0"/>
    <cacheHierarchy uniqueName="[amzn_1].[City-State]" caption="City-State" attribute="1" defaultMemberUniqueName="[amzn_1].[City-State].[All]" allUniqueName="[amzn_1].[City-State].[All]" dimensionUniqueName="[amzn_1]" displayFolder="" count="0" memberValueDatatype="130" unbalanced="0"/>
    <cacheHierarchy uniqueName="[amzn_1].[ship-postal-code]" caption="ship-postal-code" attribute="1" defaultMemberUniqueName="[amzn_1].[ship-postal-code].[All]" allUniqueName="[amzn_1].[ship-postal-code].[All]" dimensionUniqueName="[amzn_1]" displayFolder="" count="0" memberValueDatatype="20" unbalanced="0"/>
    <cacheHierarchy uniqueName="[amzn_1].[ship-country]" caption="ship-country" attribute="1" defaultMemberUniqueName="[amzn_1].[ship-country].[All]" allUniqueName="[amzn_1].[ship-country].[All]" dimensionUniqueName="[amzn_1]" displayFolder="" count="0" memberValueDatatype="130" unbalanced="0"/>
    <cacheHierarchy uniqueName="[amzn_2].[Order Number]" caption="Order Number" attribute="1" defaultMemberUniqueName="[amzn_2].[Order Number].[All]" allUniqueName="[amzn_2].[Order Number].[All]" dimensionUniqueName="[amzn_2]" displayFolder="" count="0" memberValueDatatype="20" unbalanced="0"/>
    <cacheHierarchy uniqueName="[amzn_2].[Status]" caption="Status" attribute="1" defaultMemberUniqueName="[amzn_2].[Status].[All]" allUniqueName="[amzn_2].[Status].[All]" dimensionUniqueName="[amzn_2]" displayFolder="" count="0" memberValueDatatype="130" unbalanced="0"/>
    <cacheHierarchy uniqueName="[amzn_2].[Fulfilment]" caption="Fulfilment" attribute="1" defaultMemberUniqueName="[amzn_2].[Fulfilment].[All]" allUniqueName="[amzn_2].[Fulfilment].[All]" dimensionUniqueName="[amzn_2]" displayFolder="" count="0" memberValueDatatype="130" unbalanced="0"/>
    <cacheHierarchy uniqueName="[amzn_2].[Ship Service]" caption="Ship Service" attribute="1" defaultMemberUniqueName="[amzn_2].[Ship Service].[All]" allUniqueName="[amzn_2].[Ship Service].[All]" dimensionUniqueName="[amzn_2]" displayFolder="" count="0" memberValueDatatype="130" unbalanced="0"/>
    <cacheHierarchy uniqueName="[amzn_2].[Category]" caption="Category" attribute="1" defaultMemberUniqueName="[amzn_2].[Category].[All]" allUniqueName="[amzn_2].[Category].[All]" dimensionUniqueName="[amzn_2]" displayFolder="" count="0" memberValueDatatype="130" unbalanced="0"/>
    <cacheHierarchy uniqueName="[amzn_2].[Size]" caption="Size" attribute="1" defaultMemberUniqueName="[amzn_2].[Size].[All]" allUniqueName="[amzn_2].[Size].[All]" dimensionUniqueName="[amzn_2]" displayFolder="" count="0" memberValueDatatype="130" unbalanced="0"/>
    <cacheHierarchy uniqueName="[amzn_2].[Courier Status]" caption="Courier Status" attribute="1" defaultMemberUniqueName="[amzn_2].[Courier Status].[All]" allUniqueName="[amzn_2].[Courier Status].[All]" dimensionUniqueName="[amzn_2]" displayFolder="" count="0" memberValueDatatype="130" unbalanced="0"/>
    <cacheHierarchy uniqueName="[amzn_2].[Qty]" caption="Qty" attribute="1" defaultMemberUniqueName="[amzn_2].[Qty].[All]" allUniqueName="[amzn_2].[Qty].[All]" dimensionUniqueName="[amzn_2]" displayFolder="" count="0" memberValueDatatype="20" unbalanced="0"/>
    <cacheHierarchy uniqueName="[amzn_2].[currency]" caption="currency" attribute="1" defaultMemberUniqueName="[amzn_2].[currency].[All]" allUniqueName="[amzn_2].[currency].[All]" dimensionUniqueName="[amzn_2]" displayFolder="" count="0" memberValueDatatype="130" unbalanced="0"/>
    <cacheHierarchy uniqueName="[amzn_2].[Amount]" caption="Amount" attribute="1" defaultMemberUniqueName="[amzn_2].[Amount].[All]" allUniqueName="[amzn_2].[Amount].[All]" dimensionUniqueName="[amzn_2]" displayFolder="" count="0" memberValueDatatype="20" unbalanced="0"/>
    <cacheHierarchy uniqueName="[amzn_2].[City-]" caption="City-" attribute="1" defaultMemberUniqueName="[amzn_2].[City-].[All]" allUniqueName="[amzn_2].[City-].[All]" dimensionUniqueName="[amzn_2]" displayFolder="" count="0" memberValueDatatype="130" unbalanced="0"/>
    <cacheHierarchy uniqueName="[amzn_2].[State]" caption="State" attribute="1" defaultMemberUniqueName="[amzn_2].[State].[All]" allUniqueName="[amzn_2].[State].[All]" dimensionUniqueName="[amzn_2]" displayFolder="" count="0" memberValueDatatype="130" unbalanced="0"/>
    <cacheHierarchy uniqueName="[amzn_2].[ship-postal-code]" caption="ship-postal-code" attribute="1" defaultMemberUniqueName="[amzn_2].[ship-postal-code].[All]" allUniqueName="[amzn_2].[ship-postal-code].[All]" dimensionUniqueName="[amzn_2]" displayFolder="" count="0" memberValueDatatype="20" unbalanced="0"/>
    <cacheHierarchy uniqueName="[amzn_2].[ship-country]" caption="ship-country" attribute="1" defaultMemberUniqueName="[amzn_2].[ship-country].[All]" allUniqueName="[amzn_2].[ship-country].[All]" dimensionUniqueName="[amzn_2]" displayFolder="" count="0" memberValueDatatype="130" unbalanced="0"/>
    <cacheHierarchy uniqueName="[Measures].[__XL_Count amzn_1]" caption="__XL_Count amzn_1" measure="1" displayFolder="" measureGroup="amzn_1" count="0" hidden="1"/>
    <cacheHierarchy uniqueName="[Measures].[__XL_Count amzn_2]" caption="__XL_Count amzn_2" measure="1" displayFolder="" measureGroup="amzn_2" count="0" hidden="1"/>
    <cacheHierarchy uniqueName="[Measures].[__No measures defined]" caption="__No measures defined" measure="1" displayFolder="" count="0" hidden="1"/>
    <cacheHierarchy uniqueName="[Measures].[Sum of Amount]" caption="Sum of Amount" measure="1" displayFolder="" measureGroup="amzn_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Qty]" caption="Sum of Qty" measure="1" displayFolder="" measureGroup="amzn_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Order Number]" caption="Sum of Order Number" measure="1" displayFolder="" measureGroup="amzn_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Fulfilment]" caption="Count of Fulfilment" measure="1" displayFolder="" measureGroup="amzn_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Qty 2]" caption="Sum of Qty 2" measure="1" displayFolder="" measureGroup="amzn_2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3">
    <dimension name="amzn_1" uniqueName="[amzn_1]" caption="amzn_1"/>
    <dimension name="amzn_2" uniqueName="[amzn_2]" caption="amzn_2"/>
    <dimension measure="1" name="Measures" uniqueName="[Measures]" caption="Measures"/>
  </dimensions>
  <measureGroups count="2">
    <measureGroup name="amzn_1" caption="amzn_1"/>
    <measureGroup name="amzn_2" caption="amzn_2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asiomart" refreshedDate="46092.117243171298" backgroundQuery="1" createdVersion="8" refreshedVersion="8" minRefreshableVersion="3" recordCount="0" supportSubquery="1" supportAdvancedDrill="1" xr:uid="{B603C43E-4580-4B0C-A8EF-51D5E016DAA7}">
  <cacheSource type="external" connectionId="2"/>
  <cacheFields count="2">
    <cacheField name="[amzn_1].[Category].[Category]" caption="Category" numFmtId="0" hierarchy="4" level="1">
      <sharedItems count="8">
        <s v="Blazzer"/>
        <s v="Perfume"/>
        <s v="Shirt"/>
        <s v="Shoes"/>
        <s v="Socks"/>
        <s v="Trousers"/>
        <s v="T-shirt"/>
        <s v="Wallet"/>
      </sharedItems>
    </cacheField>
    <cacheField name="[Measures].[Sum of Amount]" caption="Sum of Amount" numFmtId="0" hierarchy="30" level="32767"/>
  </cacheFields>
  <cacheHierarchies count="35">
    <cacheHierarchy uniqueName="[amzn_1].[Order Number]" caption="Order Number" attribute="1" defaultMemberUniqueName="[amzn_1].[Order Number].[All]" allUniqueName="[amzn_1].[Order Number].[All]" dimensionUniqueName="[amzn_1]" displayFolder="" count="0" memberValueDatatype="20" unbalanced="0"/>
    <cacheHierarchy uniqueName="[amzn_1].[Status]" caption="Status" attribute="1" defaultMemberUniqueName="[amzn_1].[Status].[All]" allUniqueName="[amzn_1].[Status].[All]" dimensionUniqueName="[amzn_1]" displayFolder="" count="0" memberValueDatatype="130" unbalanced="0"/>
    <cacheHierarchy uniqueName="[amzn_1].[Fulfilment]" caption="Fulfilment" attribute="1" defaultMemberUniqueName="[amzn_1].[Fulfilment].[All]" allUniqueName="[amzn_1].[Fulfilment].[All]" dimensionUniqueName="[amzn_1]" displayFolder="" count="0" memberValueDatatype="130" unbalanced="0"/>
    <cacheHierarchy uniqueName="[amzn_1].[Ship Service]" caption="Ship Service" attribute="1" defaultMemberUniqueName="[amzn_1].[Ship Service].[All]" allUniqueName="[amzn_1].[Ship Service].[All]" dimensionUniqueName="[amzn_1]" displayFolder="" count="0" memberValueDatatype="130" unbalanced="0"/>
    <cacheHierarchy uniqueName="[amzn_1].[Category]" caption="Category" attribute="1" defaultMemberUniqueName="[amzn_1].[Category].[All]" allUniqueName="[amzn_1].[Category].[All]" dimensionUniqueName="[amzn_1]" displayFolder="" count="2" memberValueDatatype="130" unbalanced="0">
      <fieldsUsage count="2">
        <fieldUsage x="-1"/>
        <fieldUsage x="0"/>
      </fieldsUsage>
    </cacheHierarchy>
    <cacheHierarchy uniqueName="[amzn_1].[Size]" caption="Size" attribute="1" defaultMemberUniqueName="[amzn_1].[Size].[All]" allUniqueName="[amzn_1].[Size].[All]" dimensionUniqueName="[amzn_1]" displayFolder="" count="0" memberValueDatatype="130" unbalanced="0"/>
    <cacheHierarchy uniqueName="[amzn_1].[Courier Status]" caption="Courier Status" attribute="1" defaultMemberUniqueName="[amzn_1].[Courier Status].[All]" allUniqueName="[amzn_1].[Courier Status].[All]" dimensionUniqueName="[amzn_1]" displayFolder="" count="0" memberValueDatatype="130" unbalanced="0"/>
    <cacheHierarchy uniqueName="[amzn_1].[Qty]" caption="Qty" attribute="1" defaultMemberUniqueName="[amzn_1].[Qty].[All]" allUniqueName="[amzn_1].[Qty].[All]" dimensionUniqueName="[amzn_1]" displayFolder="" count="0" memberValueDatatype="20" unbalanced="0"/>
    <cacheHierarchy uniqueName="[amzn_1].[currency]" caption="currency" attribute="1" defaultMemberUniqueName="[amzn_1].[currency].[All]" allUniqueName="[amzn_1].[currency].[All]" dimensionUniqueName="[amzn_1]" displayFolder="" count="0" memberValueDatatype="130" unbalanced="0"/>
    <cacheHierarchy uniqueName="[amzn_1].[Amount]" caption="Amount" attribute="1" defaultMemberUniqueName="[amzn_1].[Amount].[All]" allUniqueName="[amzn_1].[Amount].[All]" dimensionUniqueName="[amzn_1]" displayFolder="" count="0" memberValueDatatype="20" unbalanced="0"/>
    <cacheHierarchy uniqueName="[amzn_1].[City-State]" caption="City-State" attribute="1" defaultMemberUniqueName="[amzn_1].[City-State].[All]" allUniqueName="[amzn_1].[City-State].[All]" dimensionUniqueName="[amzn_1]" displayFolder="" count="0" memberValueDatatype="130" unbalanced="0"/>
    <cacheHierarchy uniqueName="[amzn_1].[ship-postal-code]" caption="ship-postal-code" attribute="1" defaultMemberUniqueName="[amzn_1].[ship-postal-code].[All]" allUniqueName="[amzn_1].[ship-postal-code].[All]" dimensionUniqueName="[amzn_1]" displayFolder="" count="0" memberValueDatatype="20" unbalanced="0"/>
    <cacheHierarchy uniqueName="[amzn_1].[ship-country]" caption="ship-country" attribute="1" defaultMemberUniqueName="[amzn_1].[ship-country].[All]" allUniqueName="[amzn_1].[ship-country].[All]" dimensionUniqueName="[amzn_1]" displayFolder="" count="0" memberValueDatatype="130" unbalanced="0"/>
    <cacheHierarchy uniqueName="[amzn_2].[Order Number]" caption="Order Number" attribute="1" defaultMemberUniqueName="[amzn_2].[Order Number].[All]" allUniqueName="[amzn_2].[Order Number].[All]" dimensionUniqueName="[amzn_2]" displayFolder="" count="0" memberValueDatatype="20" unbalanced="0"/>
    <cacheHierarchy uniqueName="[amzn_2].[Status]" caption="Status" attribute="1" defaultMemberUniqueName="[amzn_2].[Status].[All]" allUniqueName="[amzn_2].[Status].[All]" dimensionUniqueName="[amzn_2]" displayFolder="" count="0" memberValueDatatype="130" unbalanced="0"/>
    <cacheHierarchy uniqueName="[amzn_2].[Fulfilment]" caption="Fulfilment" attribute="1" defaultMemberUniqueName="[amzn_2].[Fulfilment].[All]" allUniqueName="[amzn_2].[Fulfilment].[All]" dimensionUniqueName="[amzn_2]" displayFolder="" count="0" memberValueDatatype="130" unbalanced="0"/>
    <cacheHierarchy uniqueName="[amzn_2].[Ship Service]" caption="Ship Service" attribute="1" defaultMemberUniqueName="[amzn_2].[Ship Service].[All]" allUniqueName="[amzn_2].[Ship Service].[All]" dimensionUniqueName="[amzn_2]" displayFolder="" count="0" memberValueDatatype="130" unbalanced="0"/>
    <cacheHierarchy uniqueName="[amzn_2].[Category]" caption="Category" attribute="1" defaultMemberUniqueName="[amzn_2].[Category].[All]" allUniqueName="[amzn_2].[Category].[All]" dimensionUniqueName="[amzn_2]" displayFolder="" count="0" memberValueDatatype="130" unbalanced="0"/>
    <cacheHierarchy uniqueName="[amzn_2].[Size]" caption="Size" attribute="1" defaultMemberUniqueName="[amzn_2].[Size].[All]" allUniqueName="[amzn_2].[Size].[All]" dimensionUniqueName="[amzn_2]" displayFolder="" count="0" memberValueDatatype="130" unbalanced="0"/>
    <cacheHierarchy uniqueName="[amzn_2].[Courier Status]" caption="Courier Status" attribute="1" defaultMemberUniqueName="[amzn_2].[Courier Status].[All]" allUniqueName="[amzn_2].[Courier Status].[All]" dimensionUniqueName="[amzn_2]" displayFolder="" count="0" memberValueDatatype="130" unbalanced="0"/>
    <cacheHierarchy uniqueName="[amzn_2].[Qty]" caption="Qty" attribute="1" defaultMemberUniqueName="[amzn_2].[Qty].[All]" allUniqueName="[amzn_2].[Qty].[All]" dimensionUniqueName="[amzn_2]" displayFolder="" count="0" memberValueDatatype="20" unbalanced="0"/>
    <cacheHierarchy uniqueName="[amzn_2].[currency]" caption="currency" attribute="1" defaultMemberUniqueName="[amzn_2].[currency].[All]" allUniqueName="[amzn_2].[currency].[All]" dimensionUniqueName="[amzn_2]" displayFolder="" count="0" memberValueDatatype="130" unbalanced="0"/>
    <cacheHierarchy uniqueName="[amzn_2].[Amount]" caption="Amount" attribute="1" defaultMemberUniqueName="[amzn_2].[Amount].[All]" allUniqueName="[amzn_2].[Amount].[All]" dimensionUniqueName="[amzn_2]" displayFolder="" count="0" memberValueDatatype="20" unbalanced="0"/>
    <cacheHierarchy uniqueName="[amzn_2].[City-]" caption="City-" attribute="1" defaultMemberUniqueName="[amzn_2].[City-].[All]" allUniqueName="[amzn_2].[City-].[All]" dimensionUniqueName="[amzn_2]" displayFolder="" count="0" memberValueDatatype="130" unbalanced="0"/>
    <cacheHierarchy uniqueName="[amzn_2].[State]" caption="State" attribute="1" defaultMemberUniqueName="[amzn_2].[State].[All]" allUniqueName="[amzn_2].[State].[All]" dimensionUniqueName="[amzn_2]" displayFolder="" count="0" memberValueDatatype="130" unbalanced="0"/>
    <cacheHierarchy uniqueName="[amzn_2].[ship-postal-code]" caption="ship-postal-code" attribute="1" defaultMemberUniqueName="[amzn_2].[ship-postal-code].[All]" allUniqueName="[amzn_2].[ship-postal-code].[All]" dimensionUniqueName="[amzn_2]" displayFolder="" count="0" memberValueDatatype="20" unbalanced="0"/>
    <cacheHierarchy uniqueName="[amzn_2].[ship-country]" caption="ship-country" attribute="1" defaultMemberUniqueName="[amzn_2].[ship-country].[All]" allUniqueName="[amzn_2].[ship-country].[All]" dimensionUniqueName="[amzn_2]" displayFolder="" count="0" memberValueDatatype="130" unbalanced="0"/>
    <cacheHierarchy uniqueName="[Measures].[__XL_Count amzn_1]" caption="__XL_Count amzn_1" measure="1" displayFolder="" measureGroup="amzn_1" count="0" hidden="1"/>
    <cacheHierarchy uniqueName="[Measures].[__XL_Count amzn_2]" caption="__XL_Count amzn_2" measure="1" displayFolder="" measureGroup="amzn_2" count="0" hidden="1"/>
    <cacheHierarchy uniqueName="[Measures].[__No measures defined]" caption="__No measures defined" measure="1" displayFolder="" count="0" hidden="1"/>
    <cacheHierarchy uniqueName="[Measures].[Sum of Amount]" caption="Sum of Amount" measure="1" displayFolder="" measureGroup="amzn_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Qty]" caption="Sum of Qty" measure="1" displayFolder="" measureGroup="amzn_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Order Number]" caption="Sum of Order Number" measure="1" displayFolder="" measureGroup="amzn_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Fulfilment]" caption="Count of Fulfilment" measure="1" displayFolder="" measureGroup="amzn_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Qty 2]" caption="Sum of Qty 2" measure="1" displayFolder="" measureGroup="amzn_2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3">
    <dimension name="amzn_1" uniqueName="[amzn_1]" caption="amzn_1"/>
    <dimension name="amzn_2" uniqueName="[amzn_2]" caption="amzn_2"/>
    <dimension measure="1" name="Measures" uniqueName="[Measures]" caption="Measures"/>
  </dimensions>
  <measureGroups count="2">
    <measureGroup name="amzn_1" caption="amzn_1"/>
    <measureGroup name="amzn_2" caption="amzn_2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asiomart" refreshedDate="46092.125255555555" backgroundQuery="1" createdVersion="8" refreshedVersion="8" minRefreshableVersion="3" recordCount="0" supportSubquery="1" supportAdvancedDrill="1" xr:uid="{85FD1C85-9E49-4020-8EF0-727500E9630C}">
  <cacheSource type="external" connectionId="2"/>
  <cacheFields count="2">
    <cacheField name="[amzn_2].[Ship Service].[Ship Service]" caption="Ship Service" numFmtId="0" hierarchy="16" level="1">
      <sharedItems count="2">
        <s v="Expedited"/>
        <s v="Standard"/>
      </sharedItems>
    </cacheField>
    <cacheField name="[Measures].[Sum of Qty 2]" caption="Sum of Qty 2" numFmtId="0" hierarchy="34" level="32767"/>
  </cacheFields>
  <cacheHierarchies count="35">
    <cacheHierarchy uniqueName="[amzn_1].[Order Number]" caption="Order Number" attribute="1" defaultMemberUniqueName="[amzn_1].[Order Number].[All]" allUniqueName="[amzn_1].[Order Number].[All]" dimensionUniqueName="[amzn_1]" displayFolder="" count="0" memberValueDatatype="20" unbalanced="0"/>
    <cacheHierarchy uniqueName="[amzn_1].[Status]" caption="Status" attribute="1" defaultMemberUniqueName="[amzn_1].[Status].[All]" allUniqueName="[amzn_1].[Status].[All]" dimensionUniqueName="[amzn_1]" displayFolder="" count="0" memberValueDatatype="130" unbalanced="0"/>
    <cacheHierarchy uniqueName="[amzn_1].[Fulfilment]" caption="Fulfilment" attribute="1" defaultMemberUniqueName="[amzn_1].[Fulfilment].[All]" allUniqueName="[amzn_1].[Fulfilment].[All]" dimensionUniqueName="[amzn_1]" displayFolder="" count="0" memberValueDatatype="130" unbalanced="0"/>
    <cacheHierarchy uniqueName="[amzn_1].[Ship Service]" caption="Ship Service" attribute="1" defaultMemberUniqueName="[amzn_1].[Ship Service].[All]" allUniqueName="[amzn_1].[Ship Service].[All]" dimensionUniqueName="[amzn_1]" displayFolder="" count="0" memberValueDatatype="130" unbalanced="0"/>
    <cacheHierarchy uniqueName="[amzn_1].[Category]" caption="Category" attribute="1" defaultMemberUniqueName="[amzn_1].[Category].[All]" allUniqueName="[amzn_1].[Category].[All]" dimensionUniqueName="[amzn_1]" displayFolder="" count="0" memberValueDatatype="130" unbalanced="0"/>
    <cacheHierarchy uniqueName="[amzn_1].[Size]" caption="Size" attribute="1" defaultMemberUniqueName="[amzn_1].[Size].[All]" allUniqueName="[amzn_1].[Size].[All]" dimensionUniqueName="[amzn_1]" displayFolder="" count="0" memberValueDatatype="130" unbalanced="0"/>
    <cacheHierarchy uniqueName="[amzn_1].[Courier Status]" caption="Courier Status" attribute="1" defaultMemberUniqueName="[amzn_1].[Courier Status].[All]" allUniqueName="[amzn_1].[Courier Status].[All]" dimensionUniqueName="[amzn_1]" displayFolder="" count="0" memberValueDatatype="130" unbalanced="0"/>
    <cacheHierarchy uniqueName="[amzn_1].[Qty]" caption="Qty" attribute="1" defaultMemberUniqueName="[amzn_1].[Qty].[All]" allUniqueName="[amzn_1].[Qty].[All]" dimensionUniqueName="[amzn_1]" displayFolder="" count="0" memberValueDatatype="20" unbalanced="0"/>
    <cacheHierarchy uniqueName="[amzn_1].[currency]" caption="currency" attribute="1" defaultMemberUniqueName="[amzn_1].[currency].[All]" allUniqueName="[amzn_1].[currency].[All]" dimensionUniqueName="[amzn_1]" displayFolder="" count="0" memberValueDatatype="130" unbalanced="0"/>
    <cacheHierarchy uniqueName="[amzn_1].[Amount]" caption="Amount" attribute="1" defaultMemberUniqueName="[amzn_1].[Amount].[All]" allUniqueName="[amzn_1].[Amount].[All]" dimensionUniqueName="[amzn_1]" displayFolder="" count="0" memberValueDatatype="20" unbalanced="0"/>
    <cacheHierarchy uniqueName="[amzn_1].[City-State]" caption="City-State" attribute="1" defaultMemberUniqueName="[amzn_1].[City-State].[All]" allUniqueName="[amzn_1].[City-State].[All]" dimensionUniqueName="[amzn_1]" displayFolder="" count="0" memberValueDatatype="130" unbalanced="0"/>
    <cacheHierarchy uniqueName="[amzn_1].[ship-postal-code]" caption="ship-postal-code" attribute="1" defaultMemberUniqueName="[amzn_1].[ship-postal-code].[All]" allUniqueName="[amzn_1].[ship-postal-code].[All]" dimensionUniqueName="[amzn_1]" displayFolder="" count="0" memberValueDatatype="20" unbalanced="0"/>
    <cacheHierarchy uniqueName="[amzn_1].[ship-country]" caption="ship-country" attribute="1" defaultMemberUniqueName="[amzn_1].[ship-country].[All]" allUniqueName="[amzn_1].[ship-country].[All]" dimensionUniqueName="[amzn_1]" displayFolder="" count="0" memberValueDatatype="130" unbalanced="0"/>
    <cacheHierarchy uniqueName="[amzn_2].[Order Number]" caption="Order Number" attribute="1" defaultMemberUniqueName="[amzn_2].[Order Number].[All]" allUniqueName="[amzn_2].[Order Number].[All]" dimensionUniqueName="[amzn_2]" displayFolder="" count="0" memberValueDatatype="20" unbalanced="0"/>
    <cacheHierarchy uniqueName="[amzn_2].[Status]" caption="Status" attribute="1" defaultMemberUniqueName="[amzn_2].[Status].[All]" allUniqueName="[amzn_2].[Status].[All]" dimensionUniqueName="[amzn_2]" displayFolder="" count="0" memberValueDatatype="130" unbalanced="0"/>
    <cacheHierarchy uniqueName="[amzn_2].[Fulfilment]" caption="Fulfilment" attribute="1" defaultMemberUniqueName="[amzn_2].[Fulfilment].[All]" allUniqueName="[amzn_2].[Fulfilment].[All]" dimensionUniqueName="[amzn_2]" displayFolder="" count="0" memberValueDatatype="130" unbalanced="0"/>
    <cacheHierarchy uniqueName="[amzn_2].[Ship Service]" caption="Ship Service" attribute="1" defaultMemberUniqueName="[amzn_2].[Ship Service].[All]" allUniqueName="[amzn_2].[Ship Service].[All]" dimensionUniqueName="[amzn_2]" displayFolder="" count="2" memberValueDatatype="130" unbalanced="0">
      <fieldsUsage count="2">
        <fieldUsage x="-1"/>
        <fieldUsage x="0"/>
      </fieldsUsage>
    </cacheHierarchy>
    <cacheHierarchy uniqueName="[amzn_2].[Category]" caption="Category" attribute="1" defaultMemberUniqueName="[amzn_2].[Category].[All]" allUniqueName="[amzn_2].[Category].[All]" dimensionUniqueName="[amzn_2]" displayFolder="" count="0" memberValueDatatype="130" unbalanced="0"/>
    <cacheHierarchy uniqueName="[amzn_2].[Size]" caption="Size" attribute="1" defaultMemberUniqueName="[amzn_2].[Size].[All]" allUniqueName="[amzn_2].[Size].[All]" dimensionUniqueName="[amzn_2]" displayFolder="" count="0" memberValueDatatype="130" unbalanced="0"/>
    <cacheHierarchy uniqueName="[amzn_2].[Courier Status]" caption="Courier Status" attribute="1" defaultMemberUniqueName="[amzn_2].[Courier Status].[All]" allUniqueName="[amzn_2].[Courier Status].[All]" dimensionUniqueName="[amzn_2]" displayFolder="" count="0" memberValueDatatype="130" unbalanced="0"/>
    <cacheHierarchy uniqueName="[amzn_2].[Qty]" caption="Qty" attribute="1" defaultMemberUniqueName="[amzn_2].[Qty].[All]" allUniqueName="[amzn_2].[Qty].[All]" dimensionUniqueName="[amzn_2]" displayFolder="" count="0" memberValueDatatype="20" unbalanced="0"/>
    <cacheHierarchy uniqueName="[amzn_2].[currency]" caption="currency" attribute="1" defaultMemberUniqueName="[amzn_2].[currency].[All]" allUniqueName="[amzn_2].[currency].[All]" dimensionUniqueName="[amzn_2]" displayFolder="" count="0" memberValueDatatype="130" unbalanced="0"/>
    <cacheHierarchy uniqueName="[amzn_2].[Amount]" caption="Amount" attribute="1" defaultMemberUniqueName="[amzn_2].[Amount].[All]" allUniqueName="[amzn_2].[Amount].[All]" dimensionUniqueName="[amzn_2]" displayFolder="" count="0" memberValueDatatype="20" unbalanced="0"/>
    <cacheHierarchy uniqueName="[amzn_2].[City-]" caption="City-" attribute="1" defaultMemberUniqueName="[amzn_2].[City-].[All]" allUniqueName="[amzn_2].[City-].[All]" dimensionUniqueName="[amzn_2]" displayFolder="" count="0" memberValueDatatype="130" unbalanced="0"/>
    <cacheHierarchy uniqueName="[amzn_2].[State]" caption="State" attribute="1" defaultMemberUniqueName="[amzn_2].[State].[All]" allUniqueName="[amzn_2].[State].[All]" dimensionUniqueName="[amzn_2]" displayFolder="" count="0" memberValueDatatype="130" unbalanced="0"/>
    <cacheHierarchy uniqueName="[amzn_2].[ship-postal-code]" caption="ship-postal-code" attribute="1" defaultMemberUniqueName="[amzn_2].[ship-postal-code].[All]" allUniqueName="[amzn_2].[ship-postal-code].[All]" dimensionUniqueName="[amzn_2]" displayFolder="" count="0" memberValueDatatype="20" unbalanced="0"/>
    <cacheHierarchy uniqueName="[amzn_2].[ship-country]" caption="ship-country" attribute="1" defaultMemberUniqueName="[amzn_2].[ship-country].[All]" allUniqueName="[amzn_2].[ship-country].[All]" dimensionUniqueName="[amzn_2]" displayFolder="" count="0" memberValueDatatype="130" unbalanced="0"/>
    <cacheHierarchy uniqueName="[Measures].[__XL_Count amzn_1]" caption="__XL_Count amzn_1" measure="1" displayFolder="" measureGroup="amzn_1" count="0" hidden="1"/>
    <cacheHierarchy uniqueName="[Measures].[__XL_Count amzn_2]" caption="__XL_Count amzn_2" measure="1" displayFolder="" measureGroup="amzn_2" count="0" hidden="1"/>
    <cacheHierarchy uniqueName="[Measures].[__No measures defined]" caption="__No measures defined" measure="1" displayFolder="" count="0" hidden="1"/>
    <cacheHierarchy uniqueName="[Measures].[Sum of Amount]" caption="Sum of Amount" measure="1" displayFolder="" measureGroup="amzn_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Qty]" caption="Sum of Qty" measure="1" displayFolder="" measureGroup="amzn_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Order Number]" caption="Sum of Order Number" measure="1" displayFolder="" measureGroup="amzn_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Fulfilment]" caption="Count of Fulfilment" measure="1" displayFolder="" measureGroup="amzn_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Qty 2]" caption="Sum of Qty 2" measure="1" displayFolder="" measureGroup="amzn_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3">
    <dimension name="amzn_1" uniqueName="[amzn_1]" caption="amzn_1"/>
    <dimension name="amzn_2" uniqueName="[amzn_2]" caption="amzn_2"/>
    <dimension measure="1" name="Measures" uniqueName="[Measures]" caption="Measures"/>
  </dimensions>
  <measureGroups count="2">
    <measureGroup name="amzn_1" caption="amzn_1"/>
    <measureGroup name="amzn_2" caption="amzn_2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asiomart" refreshedDate="46092.125669097222" backgroundQuery="1" createdVersion="8" refreshedVersion="8" minRefreshableVersion="3" recordCount="0" supportSubquery="1" supportAdvancedDrill="1" xr:uid="{130966D0-062C-4584-862E-BD542600C237}">
  <cacheSource type="external" connectionId="2"/>
  <cacheFields count="2">
    <cacheField name="[amzn_2].[State].[State]" caption="State" numFmtId="0" hierarchy="24" level="1">
      <sharedItems count="29">
        <s v="ANDHRA PRADESH"/>
        <s v="ARUNACHAL PRADESH"/>
        <s v="ASSAM"/>
        <s v="BIHAR"/>
        <s v="CHANDIGARH"/>
        <s v="CHHATTISGARH"/>
        <s v="DELHI"/>
        <s v="Goa"/>
        <s v="Gujarat"/>
        <s v="HARYANA"/>
        <s v="HIMACHAL PRADESH"/>
        <s v="JAMMU &amp; KASHMIR"/>
        <s v="JHARKHAND"/>
        <s v="KARNATAKA"/>
        <s v="KERALA"/>
        <s v="MADHYA PRADESH"/>
        <s v="MAHARASHTRA"/>
        <s v="MANIPUR"/>
        <s v="MEGHALAYA"/>
        <s v="NAGALAND"/>
        <s v="ODISHA"/>
        <s v="PUDUCHERRY"/>
        <s v="PUNJAB"/>
        <s v="RAJASTHAN"/>
        <s v="TAMIL NADU"/>
        <s v="TELANGANA"/>
        <s v="UTTAR PRADESH"/>
        <s v="UTTARAKHAND"/>
        <s v="WEST BENGAL"/>
      </sharedItems>
    </cacheField>
    <cacheField name="[Measures].[Sum of Qty 2]" caption="Sum of Qty 2" numFmtId="0" hierarchy="34" level="32767"/>
  </cacheFields>
  <cacheHierarchies count="35">
    <cacheHierarchy uniqueName="[amzn_1].[Order Number]" caption="Order Number" attribute="1" defaultMemberUniqueName="[amzn_1].[Order Number].[All]" allUniqueName="[amzn_1].[Order Number].[All]" dimensionUniqueName="[amzn_1]" displayFolder="" count="0" memberValueDatatype="20" unbalanced="0"/>
    <cacheHierarchy uniqueName="[amzn_1].[Status]" caption="Status" attribute="1" defaultMemberUniqueName="[amzn_1].[Status].[All]" allUniqueName="[amzn_1].[Status].[All]" dimensionUniqueName="[amzn_1]" displayFolder="" count="0" memberValueDatatype="130" unbalanced="0"/>
    <cacheHierarchy uniqueName="[amzn_1].[Fulfilment]" caption="Fulfilment" attribute="1" defaultMemberUniqueName="[amzn_1].[Fulfilment].[All]" allUniqueName="[amzn_1].[Fulfilment].[All]" dimensionUniqueName="[amzn_1]" displayFolder="" count="0" memberValueDatatype="130" unbalanced="0"/>
    <cacheHierarchy uniqueName="[amzn_1].[Ship Service]" caption="Ship Service" attribute="1" defaultMemberUniqueName="[amzn_1].[Ship Service].[All]" allUniqueName="[amzn_1].[Ship Service].[All]" dimensionUniqueName="[amzn_1]" displayFolder="" count="0" memberValueDatatype="130" unbalanced="0"/>
    <cacheHierarchy uniqueName="[amzn_1].[Category]" caption="Category" attribute="1" defaultMemberUniqueName="[amzn_1].[Category].[All]" allUniqueName="[amzn_1].[Category].[All]" dimensionUniqueName="[amzn_1]" displayFolder="" count="0" memberValueDatatype="130" unbalanced="0"/>
    <cacheHierarchy uniqueName="[amzn_1].[Size]" caption="Size" attribute="1" defaultMemberUniqueName="[amzn_1].[Size].[All]" allUniqueName="[amzn_1].[Size].[All]" dimensionUniqueName="[amzn_1]" displayFolder="" count="0" memberValueDatatype="130" unbalanced="0"/>
    <cacheHierarchy uniqueName="[amzn_1].[Courier Status]" caption="Courier Status" attribute="1" defaultMemberUniqueName="[amzn_1].[Courier Status].[All]" allUniqueName="[amzn_1].[Courier Status].[All]" dimensionUniqueName="[amzn_1]" displayFolder="" count="0" memberValueDatatype="130" unbalanced="0"/>
    <cacheHierarchy uniqueName="[amzn_1].[Qty]" caption="Qty" attribute="1" defaultMemberUniqueName="[amzn_1].[Qty].[All]" allUniqueName="[amzn_1].[Qty].[All]" dimensionUniqueName="[amzn_1]" displayFolder="" count="0" memberValueDatatype="20" unbalanced="0"/>
    <cacheHierarchy uniqueName="[amzn_1].[currency]" caption="currency" attribute="1" defaultMemberUniqueName="[amzn_1].[currency].[All]" allUniqueName="[amzn_1].[currency].[All]" dimensionUniqueName="[amzn_1]" displayFolder="" count="0" memberValueDatatype="130" unbalanced="0"/>
    <cacheHierarchy uniqueName="[amzn_1].[Amount]" caption="Amount" attribute="1" defaultMemberUniqueName="[amzn_1].[Amount].[All]" allUniqueName="[amzn_1].[Amount].[All]" dimensionUniqueName="[amzn_1]" displayFolder="" count="0" memberValueDatatype="20" unbalanced="0"/>
    <cacheHierarchy uniqueName="[amzn_1].[City-State]" caption="City-State" attribute="1" defaultMemberUniqueName="[amzn_1].[City-State].[All]" allUniqueName="[amzn_1].[City-State].[All]" dimensionUniqueName="[amzn_1]" displayFolder="" count="0" memberValueDatatype="130" unbalanced="0"/>
    <cacheHierarchy uniqueName="[amzn_1].[ship-postal-code]" caption="ship-postal-code" attribute="1" defaultMemberUniqueName="[amzn_1].[ship-postal-code].[All]" allUniqueName="[amzn_1].[ship-postal-code].[All]" dimensionUniqueName="[amzn_1]" displayFolder="" count="0" memberValueDatatype="20" unbalanced="0"/>
    <cacheHierarchy uniqueName="[amzn_1].[ship-country]" caption="ship-country" attribute="1" defaultMemberUniqueName="[amzn_1].[ship-country].[All]" allUniqueName="[amzn_1].[ship-country].[All]" dimensionUniqueName="[amzn_1]" displayFolder="" count="0" memberValueDatatype="130" unbalanced="0"/>
    <cacheHierarchy uniqueName="[amzn_2].[Order Number]" caption="Order Number" attribute="1" defaultMemberUniqueName="[amzn_2].[Order Number].[All]" allUniqueName="[amzn_2].[Order Number].[All]" dimensionUniqueName="[amzn_2]" displayFolder="" count="0" memberValueDatatype="20" unbalanced="0"/>
    <cacheHierarchy uniqueName="[amzn_2].[Status]" caption="Status" attribute="1" defaultMemberUniqueName="[amzn_2].[Status].[All]" allUniqueName="[amzn_2].[Status].[All]" dimensionUniqueName="[amzn_2]" displayFolder="" count="0" memberValueDatatype="130" unbalanced="0"/>
    <cacheHierarchy uniqueName="[amzn_2].[Fulfilment]" caption="Fulfilment" attribute="1" defaultMemberUniqueName="[amzn_2].[Fulfilment].[All]" allUniqueName="[amzn_2].[Fulfilment].[All]" dimensionUniqueName="[amzn_2]" displayFolder="" count="0" memberValueDatatype="130" unbalanced="0"/>
    <cacheHierarchy uniqueName="[amzn_2].[Ship Service]" caption="Ship Service" attribute="1" defaultMemberUniqueName="[amzn_2].[Ship Service].[All]" allUniqueName="[amzn_2].[Ship Service].[All]" dimensionUniqueName="[amzn_2]" displayFolder="" count="0" memberValueDatatype="130" unbalanced="0"/>
    <cacheHierarchy uniqueName="[amzn_2].[Category]" caption="Category" attribute="1" defaultMemberUniqueName="[amzn_2].[Category].[All]" allUniqueName="[amzn_2].[Category].[All]" dimensionUniqueName="[amzn_2]" displayFolder="" count="0" memberValueDatatype="130" unbalanced="0"/>
    <cacheHierarchy uniqueName="[amzn_2].[Size]" caption="Size" attribute="1" defaultMemberUniqueName="[amzn_2].[Size].[All]" allUniqueName="[amzn_2].[Size].[All]" dimensionUniqueName="[amzn_2]" displayFolder="" count="0" memberValueDatatype="130" unbalanced="0"/>
    <cacheHierarchy uniqueName="[amzn_2].[Courier Status]" caption="Courier Status" attribute="1" defaultMemberUniqueName="[amzn_2].[Courier Status].[All]" allUniqueName="[amzn_2].[Courier Status].[All]" dimensionUniqueName="[amzn_2]" displayFolder="" count="0" memberValueDatatype="130" unbalanced="0"/>
    <cacheHierarchy uniqueName="[amzn_2].[Qty]" caption="Qty" attribute="1" defaultMemberUniqueName="[amzn_2].[Qty].[All]" allUniqueName="[amzn_2].[Qty].[All]" dimensionUniqueName="[amzn_2]" displayFolder="" count="0" memberValueDatatype="20" unbalanced="0"/>
    <cacheHierarchy uniqueName="[amzn_2].[currency]" caption="currency" attribute="1" defaultMemberUniqueName="[amzn_2].[currency].[All]" allUniqueName="[amzn_2].[currency].[All]" dimensionUniqueName="[amzn_2]" displayFolder="" count="0" memberValueDatatype="130" unbalanced="0"/>
    <cacheHierarchy uniqueName="[amzn_2].[Amount]" caption="Amount" attribute="1" defaultMemberUniqueName="[amzn_2].[Amount].[All]" allUniqueName="[amzn_2].[Amount].[All]" dimensionUniqueName="[amzn_2]" displayFolder="" count="0" memberValueDatatype="20" unbalanced="0"/>
    <cacheHierarchy uniqueName="[amzn_2].[City-]" caption="City-" attribute="1" defaultMemberUniqueName="[amzn_2].[City-].[All]" allUniqueName="[amzn_2].[City-].[All]" dimensionUniqueName="[amzn_2]" displayFolder="" count="0" memberValueDatatype="130" unbalanced="0"/>
    <cacheHierarchy uniqueName="[amzn_2].[State]" caption="State" attribute="1" defaultMemberUniqueName="[amzn_2].[State].[All]" allUniqueName="[amzn_2].[State].[All]" dimensionUniqueName="[amzn_2]" displayFolder="" count="2" memberValueDatatype="130" unbalanced="0">
      <fieldsUsage count="2">
        <fieldUsage x="-1"/>
        <fieldUsage x="0"/>
      </fieldsUsage>
    </cacheHierarchy>
    <cacheHierarchy uniqueName="[amzn_2].[ship-postal-code]" caption="ship-postal-code" attribute="1" defaultMemberUniqueName="[amzn_2].[ship-postal-code].[All]" allUniqueName="[amzn_2].[ship-postal-code].[All]" dimensionUniqueName="[amzn_2]" displayFolder="" count="0" memberValueDatatype="20" unbalanced="0"/>
    <cacheHierarchy uniqueName="[amzn_2].[ship-country]" caption="ship-country" attribute="1" defaultMemberUniqueName="[amzn_2].[ship-country].[All]" allUniqueName="[amzn_2].[ship-country].[All]" dimensionUniqueName="[amzn_2]" displayFolder="" count="0" memberValueDatatype="130" unbalanced="0"/>
    <cacheHierarchy uniqueName="[Measures].[__XL_Count amzn_1]" caption="__XL_Count amzn_1" measure="1" displayFolder="" measureGroup="amzn_1" count="0" hidden="1"/>
    <cacheHierarchy uniqueName="[Measures].[__XL_Count amzn_2]" caption="__XL_Count amzn_2" measure="1" displayFolder="" measureGroup="amzn_2" count="0" hidden="1"/>
    <cacheHierarchy uniqueName="[Measures].[__No measures defined]" caption="__No measures defined" measure="1" displayFolder="" count="0" hidden="1"/>
    <cacheHierarchy uniqueName="[Measures].[Sum of Amount]" caption="Sum of Amount" measure="1" displayFolder="" measureGroup="amzn_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Qty]" caption="Sum of Qty" measure="1" displayFolder="" measureGroup="amzn_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Order Number]" caption="Sum of Order Number" measure="1" displayFolder="" measureGroup="amzn_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Fulfilment]" caption="Count of Fulfilment" measure="1" displayFolder="" measureGroup="amzn_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Qty 2]" caption="Sum of Qty 2" measure="1" displayFolder="" measureGroup="amzn_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3">
    <dimension name="amzn_1" uniqueName="[amzn_1]" caption="amzn_1"/>
    <dimension name="amzn_2" uniqueName="[amzn_2]" caption="amzn_2"/>
    <dimension measure="1" name="Measures" uniqueName="[Measures]" caption="Measures"/>
  </dimensions>
  <measureGroups count="2">
    <measureGroup name="amzn_1" caption="amzn_1"/>
    <measureGroup name="amzn_2" caption="amzn_2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asiomart" refreshedDate="46092.126269907407" backgroundQuery="1" createdVersion="8" refreshedVersion="8" minRefreshableVersion="3" recordCount="0" supportSubquery="1" supportAdvancedDrill="1" xr:uid="{A393E78E-FBEF-454E-BF61-C809F09CB7AB}">
  <cacheSource type="external" connectionId="2"/>
  <cacheFields count="2">
    <cacheField name="[amzn_2].[Fulfilment].[Fulfilment]" caption="Fulfilment" numFmtId="0" hierarchy="15" level="1">
      <sharedItems count="2">
        <s v="Amazon"/>
        <s v="Merchant"/>
      </sharedItems>
    </cacheField>
    <cacheField name="[Measures].[Sum of Qty 2]" caption="Sum of Qty 2" numFmtId="0" hierarchy="34" level="32767"/>
  </cacheFields>
  <cacheHierarchies count="35">
    <cacheHierarchy uniqueName="[amzn_1].[Order Number]" caption="Order Number" attribute="1" defaultMemberUniqueName="[amzn_1].[Order Number].[All]" allUniqueName="[amzn_1].[Order Number].[All]" dimensionUniqueName="[amzn_1]" displayFolder="" count="0" memberValueDatatype="20" unbalanced="0"/>
    <cacheHierarchy uniqueName="[amzn_1].[Status]" caption="Status" attribute="1" defaultMemberUniqueName="[amzn_1].[Status].[All]" allUniqueName="[amzn_1].[Status].[All]" dimensionUniqueName="[amzn_1]" displayFolder="" count="0" memberValueDatatype="130" unbalanced="0"/>
    <cacheHierarchy uniqueName="[amzn_1].[Fulfilment]" caption="Fulfilment" attribute="1" defaultMemberUniqueName="[amzn_1].[Fulfilment].[All]" allUniqueName="[amzn_1].[Fulfilment].[All]" dimensionUniqueName="[amzn_1]" displayFolder="" count="0" memberValueDatatype="130" unbalanced="0"/>
    <cacheHierarchy uniqueName="[amzn_1].[Ship Service]" caption="Ship Service" attribute="1" defaultMemberUniqueName="[amzn_1].[Ship Service].[All]" allUniqueName="[amzn_1].[Ship Service].[All]" dimensionUniqueName="[amzn_1]" displayFolder="" count="0" memberValueDatatype="130" unbalanced="0"/>
    <cacheHierarchy uniqueName="[amzn_1].[Category]" caption="Category" attribute="1" defaultMemberUniqueName="[amzn_1].[Category].[All]" allUniqueName="[amzn_1].[Category].[All]" dimensionUniqueName="[amzn_1]" displayFolder="" count="0" memberValueDatatype="130" unbalanced="0"/>
    <cacheHierarchy uniqueName="[amzn_1].[Size]" caption="Size" attribute="1" defaultMemberUniqueName="[amzn_1].[Size].[All]" allUniqueName="[amzn_1].[Size].[All]" dimensionUniqueName="[amzn_1]" displayFolder="" count="0" memberValueDatatype="130" unbalanced="0"/>
    <cacheHierarchy uniqueName="[amzn_1].[Courier Status]" caption="Courier Status" attribute="1" defaultMemberUniqueName="[amzn_1].[Courier Status].[All]" allUniqueName="[amzn_1].[Courier Status].[All]" dimensionUniqueName="[amzn_1]" displayFolder="" count="0" memberValueDatatype="130" unbalanced="0"/>
    <cacheHierarchy uniqueName="[amzn_1].[Qty]" caption="Qty" attribute="1" defaultMemberUniqueName="[amzn_1].[Qty].[All]" allUniqueName="[amzn_1].[Qty].[All]" dimensionUniqueName="[amzn_1]" displayFolder="" count="0" memberValueDatatype="20" unbalanced="0"/>
    <cacheHierarchy uniqueName="[amzn_1].[currency]" caption="currency" attribute="1" defaultMemberUniqueName="[amzn_1].[currency].[All]" allUniqueName="[amzn_1].[currency].[All]" dimensionUniqueName="[amzn_1]" displayFolder="" count="0" memberValueDatatype="130" unbalanced="0"/>
    <cacheHierarchy uniqueName="[amzn_1].[Amount]" caption="Amount" attribute="1" defaultMemberUniqueName="[amzn_1].[Amount].[All]" allUniqueName="[amzn_1].[Amount].[All]" dimensionUniqueName="[amzn_1]" displayFolder="" count="0" memberValueDatatype="20" unbalanced="0"/>
    <cacheHierarchy uniqueName="[amzn_1].[City-State]" caption="City-State" attribute="1" defaultMemberUniqueName="[amzn_1].[City-State].[All]" allUniqueName="[amzn_1].[City-State].[All]" dimensionUniqueName="[amzn_1]" displayFolder="" count="0" memberValueDatatype="130" unbalanced="0"/>
    <cacheHierarchy uniqueName="[amzn_1].[ship-postal-code]" caption="ship-postal-code" attribute="1" defaultMemberUniqueName="[amzn_1].[ship-postal-code].[All]" allUniqueName="[amzn_1].[ship-postal-code].[All]" dimensionUniqueName="[amzn_1]" displayFolder="" count="0" memberValueDatatype="20" unbalanced="0"/>
    <cacheHierarchy uniqueName="[amzn_1].[ship-country]" caption="ship-country" attribute="1" defaultMemberUniqueName="[amzn_1].[ship-country].[All]" allUniqueName="[amzn_1].[ship-country].[All]" dimensionUniqueName="[amzn_1]" displayFolder="" count="0" memberValueDatatype="130" unbalanced="0"/>
    <cacheHierarchy uniqueName="[amzn_2].[Order Number]" caption="Order Number" attribute="1" defaultMemberUniqueName="[amzn_2].[Order Number].[All]" allUniqueName="[amzn_2].[Order Number].[All]" dimensionUniqueName="[amzn_2]" displayFolder="" count="0" memberValueDatatype="20" unbalanced="0"/>
    <cacheHierarchy uniqueName="[amzn_2].[Status]" caption="Status" attribute="1" defaultMemberUniqueName="[amzn_2].[Status].[All]" allUniqueName="[amzn_2].[Status].[All]" dimensionUniqueName="[amzn_2]" displayFolder="" count="0" memberValueDatatype="130" unbalanced="0"/>
    <cacheHierarchy uniqueName="[amzn_2].[Fulfilment]" caption="Fulfilment" attribute="1" defaultMemberUniqueName="[amzn_2].[Fulfilment].[All]" allUniqueName="[amzn_2].[Fulfilment].[All]" dimensionUniqueName="[amzn_2]" displayFolder="" count="2" memberValueDatatype="130" unbalanced="0">
      <fieldsUsage count="2">
        <fieldUsage x="-1"/>
        <fieldUsage x="0"/>
      </fieldsUsage>
    </cacheHierarchy>
    <cacheHierarchy uniqueName="[amzn_2].[Ship Service]" caption="Ship Service" attribute="1" defaultMemberUniqueName="[amzn_2].[Ship Service].[All]" allUniqueName="[amzn_2].[Ship Service].[All]" dimensionUniqueName="[amzn_2]" displayFolder="" count="0" memberValueDatatype="130" unbalanced="0"/>
    <cacheHierarchy uniqueName="[amzn_2].[Category]" caption="Category" attribute="1" defaultMemberUniqueName="[amzn_2].[Category].[All]" allUniqueName="[amzn_2].[Category].[All]" dimensionUniqueName="[amzn_2]" displayFolder="" count="0" memberValueDatatype="130" unbalanced="0"/>
    <cacheHierarchy uniqueName="[amzn_2].[Size]" caption="Size" attribute="1" defaultMemberUniqueName="[amzn_2].[Size].[All]" allUniqueName="[amzn_2].[Size].[All]" dimensionUniqueName="[amzn_2]" displayFolder="" count="0" memberValueDatatype="130" unbalanced="0"/>
    <cacheHierarchy uniqueName="[amzn_2].[Courier Status]" caption="Courier Status" attribute="1" defaultMemberUniqueName="[amzn_2].[Courier Status].[All]" allUniqueName="[amzn_2].[Courier Status].[All]" dimensionUniqueName="[amzn_2]" displayFolder="" count="0" memberValueDatatype="130" unbalanced="0"/>
    <cacheHierarchy uniqueName="[amzn_2].[Qty]" caption="Qty" attribute="1" defaultMemberUniqueName="[amzn_2].[Qty].[All]" allUniqueName="[amzn_2].[Qty].[All]" dimensionUniqueName="[amzn_2]" displayFolder="" count="0" memberValueDatatype="20" unbalanced="0"/>
    <cacheHierarchy uniqueName="[amzn_2].[currency]" caption="currency" attribute="1" defaultMemberUniqueName="[amzn_2].[currency].[All]" allUniqueName="[amzn_2].[currency].[All]" dimensionUniqueName="[amzn_2]" displayFolder="" count="0" memberValueDatatype="130" unbalanced="0"/>
    <cacheHierarchy uniqueName="[amzn_2].[Amount]" caption="Amount" attribute="1" defaultMemberUniqueName="[amzn_2].[Amount].[All]" allUniqueName="[amzn_2].[Amount].[All]" dimensionUniqueName="[amzn_2]" displayFolder="" count="0" memberValueDatatype="20" unbalanced="0"/>
    <cacheHierarchy uniqueName="[amzn_2].[City-]" caption="City-" attribute="1" defaultMemberUniqueName="[amzn_2].[City-].[All]" allUniqueName="[amzn_2].[City-].[All]" dimensionUniqueName="[amzn_2]" displayFolder="" count="0" memberValueDatatype="130" unbalanced="0"/>
    <cacheHierarchy uniqueName="[amzn_2].[State]" caption="State" attribute="1" defaultMemberUniqueName="[amzn_2].[State].[All]" allUniqueName="[amzn_2].[State].[All]" dimensionUniqueName="[amzn_2]" displayFolder="" count="0" memberValueDatatype="130" unbalanced="0"/>
    <cacheHierarchy uniqueName="[amzn_2].[ship-postal-code]" caption="ship-postal-code" attribute="1" defaultMemberUniqueName="[amzn_2].[ship-postal-code].[All]" allUniqueName="[amzn_2].[ship-postal-code].[All]" dimensionUniqueName="[amzn_2]" displayFolder="" count="0" memberValueDatatype="20" unbalanced="0"/>
    <cacheHierarchy uniqueName="[amzn_2].[ship-country]" caption="ship-country" attribute="1" defaultMemberUniqueName="[amzn_2].[ship-country].[All]" allUniqueName="[amzn_2].[ship-country].[All]" dimensionUniqueName="[amzn_2]" displayFolder="" count="0" memberValueDatatype="130" unbalanced="0"/>
    <cacheHierarchy uniqueName="[Measures].[__XL_Count amzn_1]" caption="__XL_Count amzn_1" measure="1" displayFolder="" measureGroup="amzn_1" count="0" hidden="1"/>
    <cacheHierarchy uniqueName="[Measures].[__XL_Count amzn_2]" caption="__XL_Count amzn_2" measure="1" displayFolder="" measureGroup="amzn_2" count="0" hidden="1"/>
    <cacheHierarchy uniqueName="[Measures].[__No measures defined]" caption="__No measures defined" measure="1" displayFolder="" count="0" hidden="1"/>
    <cacheHierarchy uniqueName="[Measures].[Sum of Amount]" caption="Sum of Amount" measure="1" displayFolder="" measureGroup="amzn_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Qty]" caption="Sum of Qty" measure="1" displayFolder="" measureGroup="amzn_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Order Number]" caption="Sum of Order Number" measure="1" displayFolder="" measureGroup="amzn_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Fulfilment]" caption="Count of Fulfilment" measure="1" displayFolder="" measureGroup="amzn_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Qty 2]" caption="Sum of Qty 2" measure="1" displayFolder="" measureGroup="amzn_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3">
    <dimension name="amzn_1" uniqueName="[amzn_1]" caption="amzn_1"/>
    <dimension name="amzn_2" uniqueName="[amzn_2]" caption="amzn_2"/>
    <dimension measure="1" name="Measures" uniqueName="[Measures]" caption="Measures"/>
  </dimensions>
  <measureGroups count="2">
    <measureGroup name="amzn_1" caption="amzn_1"/>
    <measureGroup name="amzn_2" caption="amzn_2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4D16F0-4DEF-44BE-ACE0-3B58625440F7}" name="PivotTable6" cacheId="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5:B18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Qty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Amazon Sale Report.csv.xlsx!amzn_2">
        <x15:activeTabTopLevelEntity name="[amzn_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7B1595-AC88-4A1C-B816-7DF09F82E50A}" name="PivotTable5" cacheId="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G3:H33" firstHeaderRow="1" firstDataRow="1" firstDataCol="1"/>
  <pivotFields count="2">
    <pivotField axis="axisRow" allDrilled="1" subtotalTop="0" showAll="0" dataSourceSort="1" defaultSubtotal="0" defaultAttributeDrillState="1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  <pivotField dataField="1" subtotalTop="0" showAll="0" defaultSubtotal="0"/>
  </pivotFields>
  <rowFields count="1">
    <field x="0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Items count="1">
    <i/>
  </colItems>
  <dataFields count="1">
    <dataField name="Sum of Qty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Amazon Sale Report.csv.xlsx!amzn_2">
        <x15:activeTabTopLevelEntity name="[amzn_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BE094D-382B-43C0-B33D-28DE24F7D6DE}" name="PivotTable4" cacheId="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D12:E15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Qty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Amazon Sale Report.csv.xlsx!amzn_2">
        <x15:activeTabTopLevelEntity name="[amzn_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161C05-1C94-48AE-B910-85DFA040C013}" name="PivotTable3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D3:E9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Fulfilment" fld="1" subtotal="count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Amazon Sale Report.csv.xlsx!amzn_2">
        <x15:activeTabTopLevelEntity name="[amzn_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847503-388A-4460-977D-3C2824BEA4D5}" name="PivotTable2" cacheId="48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K3:M20" firstHeaderRow="1" firstDataRow="1" firstDataCol="0"/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Amazon Sale Report.csv.xlsx!amzn_1">
        <x15:activeTabTopLevelEntity name="[amzn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EEE81B-B335-4398-8E67-2422E4F3033C}" name="PivotTable1" cacheId="49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3">
  <location ref="A3:B12" firstHeaderRow="1" firstDataRow="1" firstDataCol="1"/>
  <pivotFields count="2"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subtotalTop="0" showAll="0" defaultSubtota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Amount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Amazon Sale Report.csv.xlsx!amzn_1">
        <x15:activeTabTopLevelEntity name="[amzn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D2FE42AC-B0EB-4830-A65F-38539C41DD1C}" autoFormatId="16" applyNumberFormats="0" applyBorderFormats="0" applyFontFormats="0" applyPatternFormats="0" applyAlignmentFormats="0" applyWidthHeightFormats="0">
  <queryTableRefresh nextId="15">
    <queryTableFields count="14">
      <queryTableField id="1" name="Order Number" tableColumnId="1"/>
      <queryTableField id="2" name="Status" tableColumnId="2"/>
      <queryTableField id="3" name="Fulfilment" tableColumnId="3"/>
      <queryTableField id="4" name="Ship Service" tableColumnId="4"/>
      <queryTableField id="5" name="Category" tableColumnId="5"/>
      <queryTableField id="6" name="Size" tableColumnId="6"/>
      <queryTableField id="7" name="Courier Status" tableColumnId="7"/>
      <queryTableField id="8" name="Qty" tableColumnId="8"/>
      <queryTableField id="9" name="currency" tableColumnId="9"/>
      <queryTableField id="10" name="Amount" tableColumnId="10"/>
      <queryTableField id="11" name="City-" tableColumnId="11"/>
      <queryTableField id="12" name="State" tableColumnId="12"/>
      <queryTableField id="13" name="ship-postal-code" tableColumnId="13"/>
      <queryTableField id="14" name="ship-country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BC11D77-DA15-47EE-BA6D-A511FC5DD0FF}" name="amzn_2" displayName="amzn_2" ref="A1:N501" tableType="queryTable" totalsRowShown="0">
  <autoFilter ref="A1:N501" xr:uid="{EBC11D77-DA15-47EE-BA6D-A511FC5DD0FF}"/>
  <tableColumns count="14">
    <tableColumn id="1" xr3:uid="{862D1090-F810-4067-9312-1AC8789E37BD}" uniqueName="1" name="Order Number" queryTableFieldId="1"/>
    <tableColumn id="2" xr3:uid="{C692A6D7-A1ED-45D3-832C-B8BD9EE41D6E}" uniqueName="2" name="Status" queryTableFieldId="2" dataDxfId="9"/>
    <tableColumn id="3" xr3:uid="{5D59382A-8508-4C79-9166-57339D9C5888}" uniqueName="3" name="Fulfilment" queryTableFieldId="3" dataDxfId="8"/>
    <tableColumn id="4" xr3:uid="{35783E5D-919E-44DE-8F89-D459079404FA}" uniqueName="4" name="Ship Service" queryTableFieldId="4" dataDxfId="7"/>
    <tableColumn id="5" xr3:uid="{3F3DB0E6-42F4-4477-AB3E-5C723F4E2457}" uniqueName="5" name="Category" queryTableFieldId="5" dataDxfId="6"/>
    <tableColumn id="6" xr3:uid="{AD6EAF36-0C22-40B3-82F4-B240F23D9287}" uniqueName="6" name="Size" queryTableFieldId="6" dataDxfId="5"/>
    <tableColumn id="7" xr3:uid="{8745C4DF-3E19-4E35-9757-361EAE6216E5}" uniqueName="7" name="Courier Status" queryTableFieldId="7" dataDxfId="4"/>
    <tableColumn id="8" xr3:uid="{536CC9F1-EEBC-49DE-96F1-DFA1268D5FA8}" uniqueName="8" name="Qty" queryTableFieldId="8"/>
    <tableColumn id="9" xr3:uid="{7F997CC4-28FE-489E-9E0E-DC2B8DA5F6FF}" uniqueName="9" name="currency" queryTableFieldId="9" dataDxfId="3"/>
    <tableColumn id="10" xr3:uid="{2554B774-C11A-450F-9952-625905A55541}" uniqueName="10" name="Amount" queryTableFieldId="10"/>
    <tableColumn id="11" xr3:uid="{2DBEF7C2-DBAC-46F4-9522-43DD3D46FF99}" uniqueName="11" name="City-" queryTableFieldId="11" dataDxfId="2"/>
    <tableColumn id="12" xr3:uid="{9D9573FB-B838-4465-914E-CD0CB8B62F7C}" uniqueName="12" name="State" queryTableFieldId="12" dataDxfId="1"/>
    <tableColumn id="13" xr3:uid="{6AF2C0EB-2DCB-4AB0-AC8B-0DE5741B5466}" uniqueName="13" name="ship-postal-code" queryTableFieldId="13"/>
    <tableColumn id="14" xr3:uid="{D4F0A0F4-7392-4E23-9F45-393C99A0CB45}" uniqueName="14" name="ship-country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8B83B-FB36-4394-BD3A-E9A4D0B03DFB}">
  <dimension ref="A1:N501"/>
  <sheetViews>
    <sheetView tabSelected="1" topLeftCell="A2" workbookViewId="0"/>
  </sheetViews>
  <sheetFormatPr defaultRowHeight="14.4" x14ac:dyDescent="0.3"/>
  <cols>
    <col min="1" max="1" width="15.44140625" bestFit="1" customWidth="1"/>
    <col min="2" max="2" width="24.21875" bestFit="1" customWidth="1"/>
    <col min="3" max="3" width="11.6640625" bestFit="1" customWidth="1"/>
    <col min="4" max="4" width="13.33203125" bestFit="1" customWidth="1"/>
    <col min="5" max="5" width="10.77734375" bestFit="1" customWidth="1"/>
    <col min="6" max="6" width="6.44140625" bestFit="1" customWidth="1"/>
    <col min="7" max="7" width="15" bestFit="1" customWidth="1"/>
    <col min="8" max="8" width="6.21875" bestFit="1" customWidth="1"/>
    <col min="9" max="9" width="10.5546875" bestFit="1" customWidth="1"/>
    <col min="10" max="10" width="10.109375" bestFit="1" customWidth="1"/>
    <col min="11" max="11" width="28.6640625" bestFit="1" customWidth="1"/>
    <col min="12" max="12" width="19.5546875" bestFit="1" customWidth="1"/>
    <col min="13" max="13" width="17.33203125" bestFit="1" customWidth="1"/>
    <col min="14" max="14" width="13.88671875" bestFit="1" customWidth="1"/>
  </cols>
  <sheetData>
    <row r="1" spans="1:14" x14ac:dyDescent="0.3">
      <c r="A1" t="s">
        <v>283</v>
      </c>
      <c r="B1" t="s">
        <v>0</v>
      </c>
      <c r="C1" t="s">
        <v>1</v>
      </c>
      <c r="D1" t="s">
        <v>284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294</v>
      </c>
      <c r="L1" t="s">
        <v>295</v>
      </c>
      <c r="M1" t="s">
        <v>8</v>
      </c>
      <c r="N1" t="s">
        <v>9</v>
      </c>
    </row>
    <row r="2" spans="1:14" x14ac:dyDescent="0.3">
      <c r="A2">
        <v>45731545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>
        <v>2</v>
      </c>
      <c r="I2" s="1" t="s">
        <v>16</v>
      </c>
      <c r="J2">
        <v>648</v>
      </c>
      <c r="K2" s="1" t="s">
        <v>17</v>
      </c>
      <c r="L2" s="1" t="s">
        <v>18</v>
      </c>
      <c r="M2">
        <v>400081</v>
      </c>
      <c r="N2" s="1" t="s">
        <v>19</v>
      </c>
    </row>
    <row r="3" spans="1:14" x14ac:dyDescent="0.3">
      <c r="A3">
        <v>11101146</v>
      </c>
      <c r="B3" s="1" t="s">
        <v>20</v>
      </c>
      <c r="C3" s="1" t="s">
        <v>11</v>
      </c>
      <c r="D3" s="1" t="s">
        <v>12</v>
      </c>
      <c r="E3" s="1" t="s">
        <v>21</v>
      </c>
      <c r="F3" s="1" t="s">
        <v>22</v>
      </c>
      <c r="G3" s="1" t="s">
        <v>23</v>
      </c>
      <c r="H3">
        <v>1</v>
      </c>
      <c r="I3" s="1" t="s">
        <v>16</v>
      </c>
      <c r="J3">
        <v>406</v>
      </c>
      <c r="K3" s="1" t="s">
        <v>24</v>
      </c>
      <c r="L3" s="1" t="s">
        <v>25</v>
      </c>
      <c r="M3">
        <v>560085</v>
      </c>
      <c r="N3" s="1" t="s">
        <v>19</v>
      </c>
    </row>
    <row r="4" spans="1:14" x14ac:dyDescent="0.3">
      <c r="A4">
        <v>67273146</v>
      </c>
      <c r="B4" s="1" t="s">
        <v>23</v>
      </c>
      <c r="C4" s="1" t="s">
        <v>26</v>
      </c>
      <c r="D4" s="1" t="s">
        <v>27</v>
      </c>
      <c r="E4" s="1" t="s">
        <v>21</v>
      </c>
      <c r="F4" s="1" t="s">
        <v>28</v>
      </c>
      <c r="G4" s="1" t="s">
        <v>23</v>
      </c>
      <c r="H4">
        <v>1</v>
      </c>
      <c r="I4" s="1" t="s">
        <v>16</v>
      </c>
      <c r="J4">
        <v>329</v>
      </c>
      <c r="K4" s="1" t="s">
        <v>29</v>
      </c>
      <c r="L4" s="1" t="s">
        <v>18</v>
      </c>
      <c r="M4">
        <v>410210</v>
      </c>
      <c r="N4" s="1" t="s">
        <v>19</v>
      </c>
    </row>
    <row r="5" spans="1:14" x14ac:dyDescent="0.3">
      <c r="A5">
        <v>78133951</v>
      </c>
      <c r="B5" s="1" t="s">
        <v>10</v>
      </c>
      <c r="C5" s="1" t="s">
        <v>11</v>
      </c>
      <c r="D5" s="1" t="s">
        <v>12</v>
      </c>
      <c r="E5" s="1" t="s">
        <v>30</v>
      </c>
      <c r="F5" s="1" t="s">
        <v>31</v>
      </c>
      <c r="G5" s="1" t="s">
        <v>15</v>
      </c>
      <c r="H5">
        <v>2</v>
      </c>
      <c r="I5" s="1" t="s">
        <v>16</v>
      </c>
      <c r="J5">
        <v>753</v>
      </c>
      <c r="K5" s="1" t="s">
        <v>32</v>
      </c>
      <c r="L5" s="1" t="s">
        <v>32</v>
      </c>
      <c r="M5">
        <v>605008</v>
      </c>
      <c r="N5" s="1" t="s">
        <v>19</v>
      </c>
    </row>
    <row r="6" spans="1:14" x14ac:dyDescent="0.3">
      <c r="A6">
        <v>7240320</v>
      </c>
      <c r="B6" s="1" t="s">
        <v>23</v>
      </c>
      <c r="C6" s="1" t="s">
        <v>26</v>
      </c>
      <c r="D6" s="1" t="s">
        <v>27</v>
      </c>
      <c r="E6" s="1" t="s">
        <v>33</v>
      </c>
      <c r="F6" s="1" t="s">
        <v>22</v>
      </c>
      <c r="G6" s="1" t="s">
        <v>23</v>
      </c>
      <c r="H6">
        <v>1</v>
      </c>
      <c r="I6" s="1" t="s">
        <v>16</v>
      </c>
      <c r="J6">
        <v>574</v>
      </c>
      <c r="K6" s="1" t="s">
        <v>34</v>
      </c>
      <c r="L6" s="1" t="s">
        <v>35</v>
      </c>
      <c r="M6">
        <v>600073</v>
      </c>
      <c r="N6" s="1" t="s">
        <v>19</v>
      </c>
    </row>
    <row r="7" spans="1:14" x14ac:dyDescent="0.3">
      <c r="A7">
        <v>44578765</v>
      </c>
      <c r="B7" s="1" t="s">
        <v>23</v>
      </c>
      <c r="C7" s="1" t="s">
        <v>26</v>
      </c>
      <c r="D7" s="1" t="s">
        <v>27</v>
      </c>
      <c r="E7" s="1" t="s">
        <v>13</v>
      </c>
      <c r="F7" s="1" t="s">
        <v>28</v>
      </c>
      <c r="G7" s="1" t="s">
        <v>23</v>
      </c>
      <c r="H7">
        <v>1</v>
      </c>
      <c r="I7" s="1" t="s">
        <v>16</v>
      </c>
      <c r="J7">
        <v>824</v>
      </c>
      <c r="K7" s="1" t="s">
        <v>36</v>
      </c>
      <c r="L7" s="1" t="s">
        <v>37</v>
      </c>
      <c r="M7">
        <v>201102</v>
      </c>
      <c r="N7" s="1" t="s">
        <v>19</v>
      </c>
    </row>
    <row r="8" spans="1:14" x14ac:dyDescent="0.3">
      <c r="A8">
        <v>96859555</v>
      </c>
      <c r="B8" s="1" t="s">
        <v>23</v>
      </c>
      <c r="C8" s="1" t="s">
        <v>26</v>
      </c>
      <c r="D8" s="1" t="s">
        <v>27</v>
      </c>
      <c r="E8" s="1" t="s">
        <v>13</v>
      </c>
      <c r="F8" s="1" t="s">
        <v>31</v>
      </c>
      <c r="G8" s="1" t="s">
        <v>23</v>
      </c>
      <c r="H8">
        <v>1</v>
      </c>
      <c r="I8" s="1" t="s">
        <v>16</v>
      </c>
      <c r="J8">
        <v>653</v>
      </c>
      <c r="K8" s="1" t="s">
        <v>38</v>
      </c>
      <c r="L8" s="1" t="s">
        <v>38</v>
      </c>
      <c r="M8">
        <v>160036</v>
      </c>
      <c r="N8" s="1" t="s">
        <v>19</v>
      </c>
    </row>
    <row r="9" spans="1:14" x14ac:dyDescent="0.3">
      <c r="A9">
        <v>33785945</v>
      </c>
      <c r="B9" s="1" t="s">
        <v>20</v>
      </c>
      <c r="C9" s="1" t="s">
        <v>11</v>
      </c>
      <c r="D9" s="1" t="s">
        <v>12</v>
      </c>
      <c r="E9" s="1" t="s">
        <v>21</v>
      </c>
      <c r="F9" s="1" t="s">
        <v>14</v>
      </c>
      <c r="G9" s="1" t="s">
        <v>23</v>
      </c>
      <c r="H9">
        <v>1</v>
      </c>
      <c r="I9" s="1" t="s">
        <v>16</v>
      </c>
      <c r="J9">
        <v>399</v>
      </c>
      <c r="K9" s="1" t="s">
        <v>39</v>
      </c>
      <c r="L9" s="1" t="s">
        <v>40</v>
      </c>
      <c r="M9">
        <v>500032</v>
      </c>
      <c r="N9" s="1" t="s">
        <v>19</v>
      </c>
    </row>
    <row r="10" spans="1:14" x14ac:dyDescent="0.3">
      <c r="A10">
        <v>10311520</v>
      </c>
      <c r="B10" s="1" t="s">
        <v>23</v>
      </c>
      <c r="C10" s="1" t="s">
        <v>26</v>
      </c>
      <c r="D10" s="1" t="s">
        <v>27</v>
      </c>
      <c r="E10" s="1" t="s">
        <v>21</v>
      </c>
      <c r="F10" s="1" t="s">
        <v>41</v>
      </c>
      <c r="G10" s="1" t="s">
        <v>23</v>
      </c>
      <c r="H10">
        <v>1</v>
      </c>
      <c r="I10" s="1" t="s">
        <v>16</v>
      </c>
      <c r="J10">
        <v>363</v>
      </c>
      <c r="K10" s="1" t="s">
        <v>42</v>
      </c>
      <c r="L10" s="1" t="s">
        <v>35</v>
      </c>
      <c r="M10">
        <v>600041</v>
      </c>
      <c r="N10" s="1" t="s">
        <v>19</v>
      </c>
    </row>
    <row r="11" spans="1:14" x14ac:dyDescent="0.3">
      <c r="A11">
        <v>56970741</v>
      </c>
      <c r="B11" s="1" t="s">
        <v>23</v>
      </c>
      <c r="C11" s="1" t="s">
        <v>26</v>
      </c>
      <c r="D11" s="1" t="s">
        <v>27</v>
      </c>
      <c r="E11" s="1" t="s">
        <v>21</v>
      </c>
      <c r="F11" s="1" t="s">
        <v>14</v>
      </c>
      <c r="G11" s="1" t="s">
        <v>23</v>
      </c>
      <c r="H11">
        <v>1</v>
      </c>
      <c r="I11" s="1" t="s">
        <v>16</v>
      </c>
      <c r="J11">
        <v>685</v>
      </c>
      <c r="K11" s="1" t="s">
        <v>34</v>
      </c>
      <c r="L11" s="1" t="s">
        <v>35</v>
      </c>
      <c r="M11">
        <v>600073</v>
      </c>
      <c r="N11" s="1" t="s">
        <v>19</v>
      </c>
    </row>
    <row r="12" spans="1:14" x14ac:dyDescent="0.3">
      <c r="A12">
        <v>16326716</v>
      </c>
      <c r="B12" s="1" t="s">
        <v>23</v>
      </c>
      <c r="C12" s="1" t="s">
        <v>26</v>
      </c>
      <c r="D12" s="1" t="s">
        <v>27</v>
      </c>
      <c r="E12" s="1" t="s">
        <v>21</v>
      </c>
      <c r="F12" s="1" t="s">
        <v>43</v>
      </c>
      <c r="G12" s="1" t="s">
        <v>23</v>
      </c>
      <c r="H12">
        <v>1</v>
      </c>
      <c r="I12" s="1" t="s">
        <v>16</v>
      </c>
      <c r="J12">
        <v>364</v>
      </c>
      <c r="K12" s="1" t="s">
        <v>44</v>
      </c>
      <c r="L12" s="1" t="s">
        <v>37</v>
      </c>
      <c r="M12">
        <v>201303</v>
      </c>
      <c r="N12" s="1" t="s">
        <v>19</v>
      </c>
    </row>
    <row r="13" spans="1:14" x14ac:dyDescent="0.3">
      <c r="A13">
        <v>48146768</v>
      </c>
      <c r="B13" s="1" t="s">
        <v>20</v>
      </c>
      <c r="C13" s="1" t="s">
        <v>11</v>
      </c>
      <c r="D13" s="1" t="s">
        <v>12</v>
      </c>
      <c r="E13" s="1" t="s">
        <v>21</v>
      </c>
      <c r="F13" s="1" t="s">
        <v>43</v>
      </c>
      <c r="G13" s="1" t="s">
        <v>23</v>
      </c>
      <c r="H13">
        <v>1</v>
      </c>
      <c r="I13" s="1" t="s">
        <v>16</v>
      </c>
      <c r="J13">
        <v>399</v>
      </c>
      <c r="K13" s="1" t="s">
        <v>45</v>
      </c>
      <c r="L13" s="1" t="s">
        <v>18</v>
      </c>
      <c r="M13">
        <v>444606</v>
      </c>
      <c r="N13" s="1" t="s">
        <v>19</v>
      </c>
    </row>
    <row r="14" spans="1:14" x14ac:dyDescent="0.3">
      <c r="A14">
        <v>53083534</v>
      </c>
      <c r="B14" s="1" t="s">
        <v>23</v>
      </c>
      <c r="C14" s="1" t="s">
        <v>26</v>
      </c>
      <c r="D14" s="1" t="s">
        <v>27</v>
      </c>
      <c r="E14" s="1" t="s">
        <v>13</v>
      </c>
      <c r="F14" s="1" t="s">
        <v>43</v>
      </c>
      <c r="G14" s="1" t="s">
        <v>23</v>
      </c>
      <c r="H14">
        <v>1</v>
      </c>
      <c r="I14" s="1" t="s">
        <v>16</v>
      </c>
      <c r="J14">
        <v>657</v>
      </c>
      <c r="K14" s="1" t="s">
        <v>17</v>
      </c>
      <c r="L14" s="1" t="s">
        <v>18</v>
      </c>
      <c r="M14">
        <v>400053</v>
      </c>
      <c r="N14" s="1" t="s">
        <v>19</v>
      </c>
    </row>
    <row r="15" spans="1:14" x14ac:dyDescent="0.3">
      <c r="A15">
        <v>1920302</v>
      </c>
      <c r="B15" s="1" t="s">
        <v>20</v>
      </c>
      <c r="C15" s="1" t="s">
        <v>11</v>
      </c>
      <c r="D15" s="1" t="s">
        <v>12</v>
      </c>
      <c r="E15" s="1" t="s">
        <v>13</v>
      </c>
      <c r="F15" s="1" t="s">
        <v>31</v>
      </c>
      <c r="G15" s="1" t="s">
        <v>23</v>
      </c>
      <c r="H15">
        <v>1</v>
      </c>
      <c r="I15" s="1" t="s">
        <v>16</v>
      </c>
      <c r="J15">
        <v>771</v>
      </c>
      <c r="K15" s="1" t="s">
        <v>17</v>
      </c>
      <c r="L15" s="1" t="s">
        <v>18</v>
      </c>
      <c r="M15">
        <v>400053</v>
      </c>
      <c r="N15" s="1" t="s">
        <v>19</v>
      </c>
    </row>
    <row r="16" spans="1:14" x14ac:dyDescent="0.3">
      <c r="A16">
        <v>19520319</v>
      </c>
      <c r="B16" s="1" t="s">
        <v>20</v>
      </c>
      <c r="C16" s="1" t="s">
        <v>11</v>
      </c>
      <c r="D16" s="1" t="s">
        <v>12</v>
      </c>
      <c r="E16" s="1" t="s">
        <v>21</v>
      </c>
      <c r="F16" s="1" t="s">
        <v>46</v>
      </c>
      <c r="G16" s="1" t="s">
        <v>23</v>
      </c>
      <c r="H16">
        <v>1</v>
      </c>
      <c r="I16" s="1" t="s">
        <v>16</v>
      </c>
      <c r="J16">
        <v>544</v>
      </c>
      <c r="K16" s="1" t="s">
        <v>47</v>
      </c>
      <c r="L16" s="1" t="s">
        <v>48</v>
      </c>
      <c r="M16">
        <v>515801</v>
      </c>
      <c r="N16" s="1" t="s">
        <v>19</v>
      </c>
    </row>
    <row r="17" spans="1:14" x14ac:dyDescent="0.3">
      <c r="A17">
        <v>86555504</v>
      </c>
      <c r="B17" s="1" t="s">
        <v>23</v>
      </c>
      <c r="C17" s="1" t="s">
        <v>26</v>
      </c>
      <c r="D17" s="1" t="s">
        <v>27</v>
      </c>
      <c r="E17" s="1" t="s">
        <v>21</v>
      </c>
      <c r="F17" s="1" t="s">
        <v>41</v>
      </c>
      <c r="G17" s="1" t="s">
        <v>23</v>
      </c>
      <c r="H17">
        <v>1</v>
      </c>
      <c r="I17" s="1" t="s">
        <v>16</v>
      </c>
      <c r="J17">
        <v>329</v>
      </c>
      <c r="K17" s="1" t="s">
        <v>49</v>
      </c>
      <c r="L17" s="1" t="s">
        <v>50</v>
      </c>
      <c r="M17">
        <v>302020</v>
      </c>
      <c r="N17" s="1" t="s">
        <v>19</v>
      </c>
    </row>
    <row r="18" spans="1:14" x14ac:dyDescent="0.3">
      <c r="A18">
        <v>38009918</v>
      </c>
      <c r="B18" s="1" t="s">
        <v>23</v>
      </c>
      <c r="C18" s="1" t="s">
        <v>26</v>
      </c>
      <c r="D18" s="1" t="s">
        <v>27</v>
      </c>
      <c r="E18" s="1" t="s">
        <v>21</v>
      </c>
      <c r="F18" s="1" t="s">
        <v>28</v>
      </c>
      <c r="G18" s="1" t="s">
        <v>23</v>
      </c>
      <c r="H18">
        <v>1</v>
      </c>
      <c r="I18" s="1" t="s">
        <v>16</v>
      </c>
      <c r="J18">
        <v>399</v>
      </c>
      <c r="K18" s="1" t="s">
        <v>51</v>
      </c>
      <c r="L18" s="1" t="s">
        <v>52</v>
      </c>
      <c r="M18">
        <v>110074</v>
      </c>
      <c r="N18" s="1" t="s">
        <v>19</v>
      </c>
    </row>
    <row r="19" spans="1:14" x14ac:dyDescent="0.3">
      <c r="A19">
        <v>85835511</v>
      </c>
      <c r="B19" s="1" t="s">
        <v>20</v>
      </c>
      <c r="C19" s="1" t="s">
        <v>11</v>
      </c>
      <c r="D19" s="1" t="s">
        <v>12</v>
      </c>
      <c r="E19" s="1" t="s">
        <v>21</v>
      </c>
      <c r="F19" s="1" t="s">
        <v>41</v>
      </c>
      <c r="G19" s="1" t="s">
        <v>23</v>
      </c>
      <c r="H19">
        <v>1</v>
      </c>
      <c r="I19" s="1" t="s">
        <v>16</v>
      </c>
      <c r="J19">
        <v>458</v>
      </c>
      <c r="K19" s="1" t="s">
        <v>53</v>
      </c>
      <c r="L19" s="1" t="s">
        <v>54</v>
      </c>
      <c r="M19">
        <v>122004</v>
      </c>
      <c r="N19" s="1" t="s">
        <v>19</v>
      </c>
    </row>
    <row r="20" spans="1:14" x14ac:dyDescent="0.3">
      <c r="A20">
        <v>81051546</v>
      </c>
      <c r="B20" s="1" t="s">
        <v>23</v>
      </c>
      <c r="C20" s="1" t="s">
        <v>26</v>
      </c>
      <c r="D20" s="1" t="s">
        <v>27</v>
      </c>
      <c r="E20" s="1" t="s">
        <v>13</v>
      </c>
      <c r="F20" s="1" t="s">
        <v>43</v>
      </c>
      <c r="G20" s="1" t="s">
        <v>23</v>
      </c>
      <c r="H20">
        <v>1</v>
      </c>
      <c r="I20" s="1" t="s">
        <v>16</v>
      </c>
      <c r="J20">
        <v>886</v>
      </c>
      <c r="K20" s="1" t="s">
        <v>24</v>
      </c>
      <c r="L20" s="1" t="s">
        <v>25</v>
      </c>
      <c r="M20">
        <v>560017</v>
      </c>
      <c r="N20" s="1" t="s">
        <v>19</v>
      </c>
    </row>
    <row r="21" spans="1:14" x14ac:dyDescent="0.3">
      <c r="A21">
        <v>90716360</v>
      </c>
      <c r="B21" s="1" t="s">
        <v>23</v>
      </c>
      <c r="C21" s="1" t="s">
        <v>26</v>
      </c>
      <c r="D21" s="1" t="s">
        <v>27</v>
      </c>
      <c r="E21" s="1" t="s">
        <v>21</v>
      </c>
      <c r="F21" s="1" t="s">
        <v>22</v>
      </c>
      <c r="G21" s="1" t="s">
        <v>23</v>
      </c>
      <c r="H21">
        <v>1</v>
      </c>
      <c r="I21" s="1" t="s">
        <v>16</v>
      </c>
      <c r="J21">
        <v>517</v>
      </c>
      <c r="K21" s="1" t="s">
        <v>55</v>
      </c>
      <c r="L21" s="1" t="s">
        <v>35</v>
      </c>
      <c r="M21">
        <v>620018</v>
      </c>
      <c r="N21" s="1" t="s">
        <v>19</v>
      </c>
    </row>
    <row r="22" spans="1:14" x14ac:dyDescent="0.3">
      <c r="A22">
        <v>5860325</v>
      </c>
      <c r="B22" s="1" t="s">
        <v>23</v>
      </c>
      <c r="C22" s="1" t="s">
        <v>26</v>
      </c>
      <c r="D22" s="1" t="s">
        <v>27</v>
      </c>
      <c r="E22" s="1" t="s">
        <v>13</v>
      </c>
      <c r="F22" s="1" t="s">
        <v>56</v>
      </c>
      <c r="G22" s="1" t="s">
        <v>23</v>
      </c>
      <c r="H22">
        <v>1</v>
      </c>
      <c r="I22" s="1" t="s">
        <v>16</v>
      </c>
      <c r="J22">
        <v>666</v>
      </c>
      <c r="K22" s="1" t="s">
        <v>24</v>
      </c>
      <c r="L22" s="1" t="s">
        <v>25</v>
      </c>
      <c r="M22">
        <v>560040</v>
      </c>
      <c r="N22" s="1" t="s">
        <v>19</v>
      </c>
    </row>
    <row r="23" spans="1:14" x14ac:dyDescent="0.3">
      <c r="A23">
        <v>72813934</v>
      </c>
      <c r="B23" s="1" t="s">
        <v>23</v>
      </c>
      <c r="C23" s="1" t="s">
        <v>26</v>
      </c>
      <c r="D23" s="1" t="s">
        <v>27</v>
      </c>
      <c r="E23" s="1" t="s">
        <v>21</v>
      </c>
      <c r="F23" s="1" t="s">
        <v>31</v>
      </c>
      <c r="G23" s="1" t="s">
        <v>23</v>
      </c>
      <c r="H23">
        <v>1</v>
      </c>
      <c r="I23" s="1" t="s">
        <v>16</v>
      </c>
      <c r="J23">
        <v>376</v>
      </c>
      <c r="K23" s="1" t="s">
        <v>39</v>
      </c>
      <c r="L23" s="1" t="s">
        <v>40</v>
      </c>
      <c r="M23">
        <v>500072</v>
      </c>
      <c r="N23" s="1" t="s">
        <v>19</v>
      </c>
    </row>
    <row r="24" spans="1:14" x14ac:dyDescent="0.3">
      <c r="A24">
        <v>62909948</v>
      </c>
      <c r="B24" s="1" t="s">
        <v>10</v>
      </c>
      <c r="C24" s="1" t="s">
        <v>11</v>
      </c>
      <c r="D24" s="1" t="s">
        <v>12</v>
      </c>
      <c r="E24" s="1" t="s">
        <v>13</v>
      </c>
      <c r="F24" s="1" t="s">
        <v>56</v>
      </c>
      <c r="G24" s="1" t="s">
        <v>15</v>
      </c>
      <c r="H24">
        <v>2</v>
      </c>
      <c r="I24" s="1" t="s">
        <v>16</v>
      </c>
      <c r="J24">
        <v>570</v>
      </c>
      <c r="K24" s="1" t="s">
        <v>57</v>
      </c>
      <c r="L24" s="1" t="s">
        <v>18</v>
      </c>
      <c r="M24">
        <v>411044</v>
      </c>
      <c r="N24" s="1" t="s">
        <v>19</v>
      </c>
    </row>
    <row r="25" spans="1:14" x14ac:dyDescent="0.3">
      <c r="A25">
        <v>74005164</v>
      </c>
      <c r="B25" s="1" t="s">
        <v>23</v>
      </c>
      <c r="C25" s="1" t="s">
        <v>26</v>
      </c>
      <c r="D25" s="1" t="s">
        <v>27</v>
      </c>
      <c r="E25" s="1" t="s">
        <v>21</v>
      </c>
      <c r="F25" s="1" t="s">
        <v>31</v>
      </c>
      <c r="G25" s="1" t="s">
        <v>23</v>
      </c>
      <c r="H25">
        <v>1</v>
      </c>
      <c r="I25" s="1" t="s">
        <v>16</v>
      </c>
      <c r="J25">
        <v>499</v>
      </c>
      <c r="K25" s="1" t="s">
        <v>58</v>
      </c>
      <c r="L25" s="1" t="s">
        <v>59</v>
      </c>
      <c r="M25">
        <v>784001</v>
      </c>
      <c r="N25" s="1" t="s">
        <v>19</v>
      </c>
    </row>
    <row r="26" spans="1:14" x14ac:dyDescent="0.3">
      <c r="A26">
        <v>85176316</v>
      </c>
      <c r="B26" s="1" t="s">
        <v>20</v>
      </c>
      <c r="C26" s="1" t="s">
        <v>11</v>
      </c>
      <c r="D26" s="1" t="s">
        <v>12</v>
      </c>
      <c r="E26" s="1" t="s">
        <v>13</v>
      </c>
      <c r="F26" s="1" t="s">
        <v>43</v>
      </c>
      <c r="G26" s="1" t="s">
        <v>23</v>
      </c>
      <c r="H26">
        <v>1</v>
      </c>
      <c r="I26" s="1" t="s">
        <v>16</v>
      </c>
      <c r="J26">
        <v>582</v>
      </c>
      <c r="K26" s="1" t="s">
        <v>60</v>
      </c>
      <c r="L26" s="1" t="s">
        <v>61</v>
      </c>
      <c r="M26">
        <v>834002</v>
      </c>
      <c r="N26" s="1" t="s">
        <v>19</v>
      </c>
    </row>
    <row r="27" spans="1:14" x14ac:dyDescent="0.3">
      <c r="A27">
        <v>49657916</v>
      </c>
      <c r="B27" s="1" t="s">
        <v>20</v>
      </c>
      <c r="C27" s="1" t="s">
        <v>11</v>
      </c>
      <c r="D27" s="1" t="s">
        <v>12</v>
      </c>
      <c r="E27" s="1" t="s">
        <v>21</v>
      </c>
      <c r="F27" s="1" t="s">
        <v>22</v>
      </c>
      <c r="G27" s="1" t="s">
        <v>23</v>
      </c>
      <c r="H27">
        <v>1</v>
      </c>
      <c r="I27" s="1" t="s">
        <v>16</v>
      </c>
      <c r="J27">
        <v>299</v>
      </c>
      <c r="K27" s="1" t="s">
        <v>62</v>
      </c>
      <c r="L27" s="1" t="s">
        <v>63</v>
      </c>
      <c r="M27">
        <v>495001</v>
      </c>
      <c r="N27" s="1" t="s">
        <v>19</v>
      </c>
    </row>
    <row r="28" spans="1:14" x14ac:dyDescent="0.3">
      <c r="A28">
        <v>16901959</v>
      </c>
      <c r="B28" s="1" t="s">
        <v>23</v>
      </c>
      <c r="C28" s="1" t="s">
        <v>26</v>
      </c>
      <c r="D28" s="1" t="s">
        <v>27</v>
      </c>
      <c r="E28" s="1" t="s">
        <v>21</v>
      </c>
      <c r="F28" s="1" t="s">
        <v>64</v>
      </c>
      <c r="G28" s="1" t="s">
        <v>23</v>
      </c>
      <c r="H28">
        <v>1</v>
      </c>
      <c r="I28" s="1" t="s">
        <v>16</v>
      </c>
      <c r="J28">
        <v>459</v>
      </c>
      <c r="K28" s="1" t="s">
        <v>65</v>
      </c>
      <c r="L28" s="1" t="s">
        <v>18</v>
      </c>
      <c r="M28">
        <v>411052</v>
      </c>
      <c r="N28" s="1" t="s">
        <v>19</v>
      </c>
    </row>
    <row r="29" spans="1:14" x14ac:dyDescent="0.3">
      <c r="A29">
        <v>34729935</v>
      </c>
      <c r="B29" s="1" t="s">
        <v>23</v>
      </c>
      <c r="C29" s="1" t="s">
        <v>26</v>
      </c>
      <c r="D29" s="1" t="s">
        <v>27</v>
      </c>
      <c r="E29" s="1" t="s">
        <v>21</v>
      </c>
      <c r="F29" s="1" t="s">
        <v>56</v>
      </c>
      <c r="G29" s="1" t="s">
        <v>23</v>
      </c>
      <c r="H29">
        <v>1</v>
      </c>
      <c r="I29" s="1" t="s">
        <v>16</v>
      </c>
      <c r="J29">
        <v>399</v>
      </c>
      <c r="K29" s="1" t="s">
        <v>24</v>
      </c>
      <c r="L29" s="1" t="s">
        <v>25</v>
      </c>
      <c r="M29">
        <v>560037</v>
      </c>
      <c r="N29" s="1" t="s">
        <v>19</v>
      </c>
    </row>
    <row r="30" spans="1:14" x14ac:dyDescent="0.3">
      <c r="A30">
        <v>49291563</v>
      </c>
      <c r="B30" s="1" t="s">
        <v>23</v>
      </c>
      <c r="C30" s="1" t="s">
        <v>26</v>
      </c>
      <c r="D30" s="1" t="s">
        <v>27</v>
      </c>
      <c r="E30" s="1" t="s">
        <v>30</v>
      </c>
      <c r="F30" s="1" t="s">
        <v>14</v>
      </c>
      <c r="G30" s="1" t="s">
        <v>23</v>
      </c>
      <c r="H30">
        <v>1</v>
      </c>
      <c r="I30" s="1" t="s">
        <v>16</v>
      </c>
      <c r="J30">
        <v>791</v>
      </c>
      <c r="K30" s="1" t="s">
        <v>67</v>
      </c>
      <c r="L30" s="1" t="s">
        <v>35</v>
      </c>
      <c r="M30">
        <v>613704</v>
      </c>
      <c r="N30" s="1" t="s">
        <v>19</v>
      </c>
    </row>
    <row r="31" spans="1:14" x14ac:dyDescent="0.3">
      <c r="A31">
        <v>90979561</v>
      </c>
      <c r="B31" s="1" t="s">
        <v>23</v>
      </c>
      <c r="C31" s="1" t="s">
        <v>26</v>
      </c>
      <c r="D31" s="1" t="s">
        <v>27</v>
      </c>
      <c r="E31" s="1" t="s">
        <v>21</v>
      </c>
      <c r="F31" s="1" t="s">
        <v>28</v>
      </c>
      <c r="G31" s="1" t="s">
        <v>23</v>
      </c>
      <c r="H31">
        <v>1</v>
      </c>
      <c r="I31" s="1" t="s">
        <v>16</v>
      </c>
      <c r="J31">
        <v>499</v>
      </c>
      <c r="K31" s="1" t="s">
        <v>68</v>
      </c>
      <c r="L31" s="1" t="s">
        <v>37</v>
      </c>
      <c r="M31">
        <v>226010</v>
      </c>
      <c r="N31" s="1" t="s">
        <v>19</v>
      </c>
    </row>
    <row r="32" spans="1:14" x14ac:dyDescent="0.3">
      <c r="A32">
        <v>41107550</v>
      </c>
      <c r="B32" s="1" t="s">
        <v>20</v>
      </c>
      <c r="C32" s="1" t="s">
        <v>11</v>
      </c>
      <c r="D32" s="1" t="s">
        <v>12</v>
      </c>
      <c r="E32" s="1" t="s">
        <v>13</v>
      </c>
      <c r="F32" s="1" t="s">
        <v>56</v>
      </c>
      <c r="G32" s="1" t="s">
        <v>23</v>
      </c>
      <c r="H32">
        <v>1</v>
      </c>
      <c r="I32" s="1" t="s">
        <v>16</v>
      </c>
      <c r="J32">
        <v>1233</v>
      </c>
      <c r="K32" s="1" t="s">
        <v>69</v>
      </c>
      <c r="L32" s="1" t="s">
        <v>48</v>
      </c>
      <c r="M32">
        <v>530016</v>
      </c>
      <c r="N32" s="1" t="s">
        <v>19</v>
      </c>
    </row>
    <row r="33" spans="1:14" x14ac:dyDescent="0.3">
      <c r="A33">
        <v>70579556</v>
      </c>
      <c r="B33" s="1" t="s">
        <v>20</v>
      </c>
      <c r="C33" s="1" t="s">
        <v>11</v>
      </c>
      <c r="D33" s="1" t="s">
        <v>12</v>
      </c>
      <c r="E33" s="1" t="s">
        <v>21</v>
      </c>
      <c r="F33" s="1" t="s">
        <v>56</v>
      </c>
      <c r="G33" s="1" t="s">
        <v>23</v>
      </c>
      <c r="H33">
        <v>1</v>
      </c>
      <c r="I33" s="1" t="s">
        <v>16</v>
      </c>
      <c r="J33">
        <v>517</v>
      </c>
      <c r="K33" s="1" t="s">
        <v>70</v>
      </c>
      <c r="L33" s="1" t="s">
        <v>71</v>
      </c>
      <c r="M33">
        <v>764001</v>
      </c>
      <c r="N33" s="1" t="s">
        <v>19</v>
      </c>
    </row>
    <row r="34" spans="1:14" x14ac:dyDescent="0.3">
      <c r="A34">
        <v>53780319</v>
      </c>
      <c r="B34" s="1" t="s">
        <v>23</v>
      </c>
      <c r="C34" s="1" t="s">
        <v>26</v>
      </c>
      <c r="D34" s="1" t="s">
        <v>27</v>
      </c>
      <c r="E34" s="1" t="s">
        <v>21</v>
      </c>
      <c r="F34" s="1" t="s">
        <v>28</v>
      </c>
      <c r="G34" s="1" t="s">
        <v>23</v>
      </c>
      <c r="H34">
        <v>1</v>
      </c>
      <c r="I34" s="1" t="s">
        <v>16</v>
      </c>
      <c r="J34">
        <v>376</v>
      </c>
      <c r="K34" s="1" t="s">
        <v>39</v>
      </c>
      <c r="L34" s="1" t="s">
        <v>40</v>
      </c>
      <c r="M34">
        <v>500028</v>
      </c>
      <c r="N34" s="1" t="s">
        <v>19</v>
      </c>
    </row>
    <row r="35" spans="1:14" x14ac:dyDescent="0.3">
      <c r="A35">
        <v>21492318</v>
      </c>
      <c r="B35" s="1" t="s">
        <v>20</v>
      </c>
      <c r="C35" s="1" t="s">
        <v>11</v>
      </c>
      <c r="D35" s="1" t="s">
        <v>12</v>
      </c>
      <c r="E35" s="1" t="s">
        <v>21</v>
      </c>
      <c r="F35" s="1" t="s">
        <v>28</v>
      </c>
      <c r="G35" s="1" t="s">
        <v>23</v>
      </c>
      <c r="H35">
        <v>1</v>
      </c>
      <c r="I35" s="1" t="s">
        <v>16</v>
      </c>
      <c r="J35">
        <v>499</v>
      </c>
      <c r="K35" s="1" t="s">
        <v>68</v>
      </c>
      <c r="L35" s="1" t="s">
        <v>37</v>
      </c>
      <c r="M35">
        <v>226016</v>
      </c>
      <c r="N35" s="1" t="s">
        <v>19</v>
      </c>
    </row>
    <row r="36" spans="1:14" x14ac:dyDescent="0.3">
      <c r="A36">
        <v>7784379</v>
      </c>
      <c r="B36" s="1" t="s">
        <v>23</v>
      </c>
      <c r="C36" s="1" t="s">
        <v>26</v>
      </c>
      <c r="D36" s="1" t="s">
        <v>27</v>
      </c>
      <c r="E36" s="1" t="s">
        <v>13</v>
      </c>
      <c r="F36" s="1" t="s">
        <v>31</v>
      </c>
      <c r="G36" s="1" t="s">
        <v>23</v>
      </c>
      <c r="H36">
        <v>1</v>
      </c>
      <c r="I36" s="1" t="s">
        <v>16</v>
      </c>
      <c r="J36">
        <v>666</v>
      </c>
      <c r="K36" s="1" t="s">
        <v>34</v>
      </c>
      <c r="L36" s="1" t="s">
        <v>35</v>
      </c>
      <c r="M36">
        <v>600033</v>
      </c>
      <c r="N36" s="1" t="s">
        <v>19</v>
      </c>
    </row>
    <row r="37" spans="1:14" x14ac:dyDescent="0.3">
      <c r="A37">
        <v>62849158</v>
      </c>
      <c r="B37" s="1" t="s">
        <v>23</v>
      </c>
      <c r="C37" s="1" t="s">
        <v>26</v>
      </c>
      <c r="D37" s="1" t="s">
        <v>27</v>
      </c>
      <c r="E37" s="1" t="s">
        <v>21</v>
      </c>
      <c r="F37" s="1" t="s">
        <v>14</v>
      </c>
      <c r="G37" s="1" t="s">
        <v>23</v>
      </c>
      <c r="H37">
        <v>1</v>
      </c>
      <c r="I37" s="1" t="s">
        <v>16</v>
      </c>
      <c r="J37">
        <v>487</v>
      </c>
      <c r="K37" s="1" t="s">
        <v>51</v>
      </c>
      <c r="L37" s="1" t="s">
        <v>52</v>
      </c>
      <c r="M37">
        <v>110092</v>
      </c>
      <c r="N37" s="1" t="s">
        <v>19</v>
      </c>
    </row>
    <row r="38" spans="1:14" x14ac:dyDescent="0.3">
      <c r="A38">
        <v>78599555</v>
      </c>
      <c r="B38" s="1" t="s">
        <v>23</v>
      </c>
      <c r="C38" s="1" t="s">
        <v>26</v>
      </c>
      <c r="D38" s="1" t="s">
        <v>27</v>
      </c>
      <c r="E38" s="1" t="s">
        <v>21</v>
      </c>
      <c r="F38" s="1" t="s">
        <v>31</v>
      </c>
      <c r="G38" s="1" t="s">
        <v>23</v>
      </c>
      <c r="H38">
        <v>1</v>
      </c>
      <c r="I38" s="1" t="s">
        <v>16</v>
      </c>
      <c r="J38">
        <v>399</v>
      </c>
      <c r="K38" s="1" t="s">
        <v>72</v>
      </c>
      <c r="L38" s="1" t="s">
        <v>73</v>
      </c>
      <c r="M38">
        <v>695011</v>
      </c>
      <c r="N38" s="1" t="s">
        <v>19</v>
      </c>
    </row>
    <row r="39" spans="1:14" x14ac:dyDescent="0.3">
      <c r="A39">
        <v>45643524</v>
      </c>
      <c r="B39" s="1" t="s">
        <v>23</v>
      </c>
      <c r="C39" s="1" t="s">
        <v>26</v>
      </c>
      <c r="D39" s="1" t="s">
        <v>27</v>
      </c>
      <c r="E39" s="1" t="s">
        <v>74</v>
      </c>
      <c r="F39" s="1" t="s">
        <v>75</v>
      </c>
      <c r="G39" s="1" t="s">
        <v>23</v>
      </c>
      <c r="H39">
        <v>1</v>
      </c>
      <c r="I39" s="1" t="s">
        <v>16</v>
      </c>
      <c r="J39">
        <v>699</v>
      </c>
      <c r="K39" s="1" t="s">
        <v>76</v>
      </c>
      <c r="L39" s="1" t="s">
        <v>37</v>
      </c>
      <c r="M39">
        <v>201306</v>
      </c>
      <c r="N39" s="1" t="s">
        <v>19</v>
      </c>
    </row>
    <row r="40" spans="1:14" x14ac:dyDescent="0.3">
      <c r="A40">
        <v>53935569</v>
      </c>
      <c r="B40" s="1" t="s">
        <v>23</v>
      </c>
      <c r="C40" s="1" t="s">
        <v>26</v>
      </c>
      <c r="D40" s="1" t="s">
        <v>27</v>
      </c>
      <c r="E40" s="1" t="s">
        <v>30</v>
      </c>
      <c r="F40" s="1" t="s">
        <v>22</v>
      </c>
      <c r="G40" s="1" t="s">
        <v>23</v>
      </c>
      <c r="H40">
        <v>1</v>
      </c>
      <c r="I40" s="1" t="s">
        <v>16</v>
      </c>
      <c r="J40">
        <v>885</v>
      </c>
      <c r="K40" s="1" t="s">
        <v>77</v>
      </c>
      <c r="L40" s="1" t="s">
        <v>78</v>
      </c>
      <c r="M40">
        <v>482002</v>
      </c>
      <c r="N40" s="1" t="s">
        <v>19</v>
      </c>
    </row>
    <row r="41" spans="1:14" x14ac:dyDescent="0.3">
      <c r="A41">
        <v>13869914</v>
      </c>
      <c r="B41" s="1" t="s">
        <v>20</v>
      </c>
      <c r="C41" s="1" t="s">
        <v>11</v>
      </c>
      <c r="D41" s="1" t="s">
        <v>12</v>
      </c>
      <c r="E41" s="1" t="s">
        <v>21</v>
      </c>
      <c r="F41" s="1" t="s">
        <v>56</v>
      </c>
      <c r="G41" s="1" t="s">
        <v>23</v>
      </c>
      <c r="H41">
        <v>1</v>
      </c>
      <c r="I41" s="1" t="s">
        <v>16</v>
      </c>
      <c r="J41">
        <v>424</v>
      </c>
      <c r="K41" s="1" t="s">
        <v>17</v>
      </c>
      <c r="L41" s="1" t="s">
        <v>18</v>
      </c>
      <c r="M41">
        <v>400092</v>
      </c>
      <c r="N41" s="1" t="s">
        <v>19</v>
      </c>
    </row>
    <row r="42" spans="1:14" x14ac:dyDescent="0.3">
      <c r="A42">
        <v>881162</v>
      </c>
      <c r="B42" s="1" t="s">
        <v>23</v>
      </c>
      <c r="C42" s="1" t="s">
        <v>26</v>
      </c>
      <c r="D42" s="1" t="s">
        <v>27</v>
      </c>
      <c r="E42" s="1" t="s">
        <v>13</v>
      </c>
      <c r="F42" s="1" t="s">
        <v>56</v>
      </c>
      <c r="G42" s="1" t="s">
        <v>23</v>
      </c>
      <c r="H42">
        <v>1</v>
      </c>
      <c r="I42" s="1" t="s">
        <v>16</v>
      </c>
      <c r="J42">
        <v>1126</v>
      </c>
      <c r="K42" s="1" t="s">
        <v>68</v>
      </c>
      <c r="L42" s="1" t="s">
        <v>37</v>
      </c>
      <c r="M42">
        <v>226017</v>
      </c>
      <c r="N42" s="1" t="s">
        <v>19</v>
      </c>
    </row>
    <row r="43" spans="1:14" x14ac:dyDescent="0.3">
      <c r="A43">
        <v>29129931</v>
      </c>
      <c r="B43" s="1" t="s">
        <v>23</v>
      </c>
      <c r="C43" s="1" t="s">
        <v>26</v>
      </c>
      <c r="D43" s="1" t="s">
        <v>27</v>
      </c>
      <c r="E43" s="1" t="s">
        <v>13</v>
      </c>
      <c r="F43" s="1" t="s">
        <v>31</v>
      </c>
      <c r="G43" s="1" t="s">
        <v>23</v>
      </c>
      <c r="H43">
        <v>1</v>
      </c>
      <c r="I43" s="1" t="s">
        <v>16</v>
      </c>
      <c r="J43">
        <v>788</v>
      </c>
      <c r="K43" s="1" t="s">
        <v>17</v>
      </c>
      <c r="L43" s="1" t="s">
        <v>18</v>
      </c>
      <c r="M43">
        <v>400076</v>
      </c>
      <c r="N43" s="1" t="s">
        <v>19</v>
      </c>
    </row>
    <row r="44" spans="1:14" x14ac:dyDescent="0.3">
      <c r="A44">
        <v>46233146</v>
      </c>
      <c r="B44" s="1" t="s">
        <v>23</v>
      </c>
      <c r="C44" s="1" t="s">
        <v>26</v>
      </c>
      <c r="D44" s="1" t="s">
        <v>27</v>
      </c>
      <c r="E44" s="1" t="s">
        <v>13</v>
      </c>
      <c r="F44" s="1" t="s">
        <v>14</v>
      </c>
      <c r="G44" s="1" t="s">
        <v>23</v>
      </c>
      <c r="H44">
        <v>1</v>
      </c>
      <c r="I44" s="1" t="s">
        <v>16</v>
      </c>
      <c r="J44">
        <v>759</v>
      </c>
      <c r="K44" s="1" t="s">
        <v>79</v>
      </c>
      <c r="L44" s="1" t="s">
        <v>80</v>
      </c>
      <c r="M44">
        <v>700014</v>
      </c>
      <c r="N44" s="1" t="s">
        <v>19</v>
      </c>
    </row>
    <row r="45" spans="1:14" x14ac:dyDescent="0.3">
      <c r="A45">
        <v>35314763</v>
      </c>
      <c r="B45" s="1" t="s">
        <v>23</v>
      </c>
      <c r="C45" s="1" t="s">
        <v>26</v>
      </c>
      <c r="D45" s="1" t="s">
        <v>27</v>
      </c>
      <c r="E45" s="1" t="s">
        <v>13</v>
      </c>
      <c r="F45" s="1" t="s">
        <v>31</v>
      </c>
      <c r="G45" s="1" t="s">
        <v>23</v>
      </c>
      <c r="H45">
        <v>1</v>
      </c>
      <c r="I45" s="1" t="s">
        <v>16</v>
      </c>
      <c r="J45">
        <v>1146</v>
      </c>
      <c r="K45" s="1" t="s">
        <v>81</v>
      </c>
      <c r="L45" s="1" t="s">
        <v>48</v>
      </c>
      <c r="M45">
        <v>523001</v>
      </c>
      <c r="N45" s="1" t="s">
        <v>19</v>
      </c>
    </row>
    <row r="46" spans="1:14" x14ac:dyDescent="0.3">
      <c r="A46">
        <v>26213100</v>
      </c>
      <c r="B46" s="1" t="s">
        <v>23</v>
      </c>
      <c r="C46" s="1" t="s">
        <v>26</v>
      </c>
      <c r="D46" s="1" t="s">
        <v>27</v>
      </c>
      <c r="E46" s="1" t="s">
        <v>33</v>
      </c>
      <c r="F46" s="1" t="s">
        <v>14</v>
      </c>
      <c r="G46" s="1" t="s">
        <v>23</v>
      </c>
      <c r="H46">
        <v>1</v>
      </c>
      <c r="I46" s="1" t="s">
        <v>16</v>
      </c>
      <c r="J46">
        <v>665</v>
      </c>
      <c r="K46" s="1" t="s">
        <v>82</v>
      </c>
      <c r="L46" s="1" t="s">
        <v>40</v>
      </c>
      <c r="M46">
        <v>500017</v>
      </c>
      <c r="N46" s="1" t="s">
        <v>19</v>
      </c>
    </row>
    <row r="47" spans="1:14" x14ac:dyDescent="0.3">
      <c r="A47">
        <v>13082707</v>
      </c>
      <c r="B47" s="1" t="s">
        <v>23</v>
      </c>
      <c r="C47" s="1" t="s">
        <v>26</v>
      </c>
      <c r="D47" s="1" t="s">
        <v>27</v>
      </c>
      <c r="E47" s="1" t="s">
        <v>21</v>
      </c>
      <c r="F47" s="1" t="s">
        <v>14</v>
      </c>
      <c r="G47" s="1" t="s">
        <v>23</v>
      </c>
      <c r="H47">
        <v>1</v>
      </c>
      <c r="I47" s="1" t="s">
        <v>16</v>
      </c>
      <c r="J47">
        <v>429</v>
      </c>
      <c r="K47" s="1" t="s">
        <v>39</v>
      </c>
      <c r="L47" s="1" t="s">
        <v>40</v>
      </c>
      <c r="M47">
        <v>500062</v>
      </c>
      <c r="N47" s="1" t="s">
        <v>19</v>
      </c>
    </row>
    <row r="48" spans="1:14" x14ac:dyDescent="0.3">
      <c r="A48">
        <v>80157156</v>
      </c>
      <c r="B48" s="1" t="s">
        <v>20</v>
      </c>
      <c r="C48" s="1" t="s">
        <v>11</v>
      </c>
      <c r="D48" s="1" t="s">
        <v>12</v>
      </c>
      <c r="E48" s="1" t="s">
        <v>21</v>
      </c>
      <c r="F48" s="1" t="s">
        <v>56</v>
      </c>
      <c r="G48" s="1" t="s">
        <v>23</v>
      </c>
      <c r="H48">
        <v>1</v>
      </c>
      <c r="I48" s="1" t="s">
        <v>16</v>
      </c>
      <c r="J48">
        <v>399</v>
      </c>
      <c r="K48" s="1" t="s">
        <v>83</v>
      </c>
      <c r="L48" s="1" t="s">
        <v>37</v>
      </c>
      <c r="M48">
        <v>271881</v>
      </c>
      <c r="N48" s="1" t="s">
        <v>19</v>
      </c>
    </row>
    <row r="49" spans="1:14" x14ac:dyDescent="0.3">
      <c r="A49">
        <v>30982751</v>
      </c>
      <c r="B49" s="1" t="s">
        <v>23</v>
      </c>
      <c r="C49" s="1" t="s">
        <v>26</v>
      </c>
      <c r="D49" s="1" t="s">
        <v>27</v>
      </c>
      <c r="E49" s="1" t="s">
        <v>13</v>
      </c>
      <c r="F49" s="1" t="s">
        <v>14</v>
      </c>
      <c r="G49" s="1" t="s">
        <v>23</v>
      </c>
      <c r="H49">
        <v>1</v>
      </c>
      <c r="I49" s="1" t="s">
        <v>16</v>
      </c>
      <c r="J49">
        <v>848</v>
      </c>
      <c r="K49" s="1" t="s">
        <v>84</v>
      </c>
      <c r="L49" s="1" t="s">
        <v>71</v>
      </c>
      <c r="M49">
        <v>753012</v>
      </c>
      <c r="N49" s="1" t="s">
        <v>19</v>
      </c>
    </row>
    <row r="50" spans="1:14" x14ac:dyDescent="0.3">
      <c r="A50">
        <v>69688333</v>
      </c>
      <c r="B50" s="1" t="s">
        <v>23</v>
      </c>
      <c r="C50" s="1" t="s">
        <v>26</v>
      </c>
      <c r="D50" s="1" t="s">
        <v>27</v>
      </c>
      <c r="E50" s="1" t="s">
        <v>13</v>
      </c>
      <c r="F50" s="1" t="s">
        <v>56</v>
      </c>
      <c r="G50" s="1" t="s">
        <v>23</v>
      </c>
      <c r="H50">
        <v>1</v>
      </c>
      <c r="I50" s="1" t="s">
        <v>16</v>
      </c>
      <c r="J50">
        <v>654</v>
      </c>
      <c r="K50" s="1" t="s">
        <v>85</v>
      </c>
      <c r="L50" s="1" t="s">
        <v>18</v>
      </c>
      <c r="M50">
        <v>421503</v>
      </c>
      <c r="N50" s="1" t="s">
        <v>19</v>
      </c>
    </row>
    <row r="51" spans="1:14" x14ac:dyDescent="0.3">
      <c r="A51">
        <v>9728362</v>
      </c>
      <c r="B51" s="1" t="s">
        <v>23</v>
      </c>
      <c r="C51" s="1" t="s">
        <v>26</v>
      </c>
      <c r="D51" s="1" t="s">
        <v>27</v>
      </c>
      <c r="E51" s="1" t="s">
        <v>13</v>
      </c>
      <c r="F51" s="1" t="s">
        <v>56</v>
      </c>
      <c r="G51" s="1" t="s">
        <v>23</v>
      </c>
      <c r="H51">
        <v>1</v>
      </c>
      <c r="I51" s="1" t="s">
        <v>16</v>
      </c>
      <c r="J51">
        <v>1033</v>
      </c>
      <c r="K51" s="1" t="s">
        <v>86</v>
      </c>
      <c r="L51" s="1" t="s">
        <v>87</v>
      </c>
      <c r="M51">
        <v>797112</v>
      </c>
      <c r="N51" s="1" t="s">
        <v>19</v>
      </c>
    </row>
    <row r="52" spans="1:14" x14ac:dyDescent="0.3">
      <c r="A52">
        <v>92274748</v>
      </c>
      <c r="B52" s="1" t="s">
        <v>23</v>
      </c>
      <c r="C52" s="1" t="s">
        <v>26</v>
      </c>
      <c r="D52" s="1" t="s">
        <v>27</v>
      </c>
      <c r="E52" s="1" t="s">
        <v>21</v>
      </c>
      <c r="F52" s="1" t="s">
        <v>28</v>
      </c>
      <c r="G52" s="1" t="s">
        <v>23</v>
      </c>
      <c r="H52">
        <v>1</v>
      </c>
      <c r="I52" s="1" t="s">
        <v>16</v>
      </c>
      <c r="J52">
        <v>390</v>
      </c>
      <c r="K52" s="1" t="s">
        <v>24</v>
      </c>
      <c r="L52" s="1" t="s">
        <v>25</v>
      </c>
      <c r="M52">
        <v>560047</v>
      </c>
      <c r="N52" s="1" t="s">
        <v>19</v>
      </c>
    </row>
    <row r="53" spans="1:14" x14ac:dyDescent="0.3">
      <c r="A53">
        <v>11869101</v>
      </c>
      <c r="B53" s="1" t="s">
        <v>23</v>
      </c>
      <c r="C53" s="1" t="s">
        <v>26</v>
      </c>
      <c r="D53" s="1" t="s">
        <v>27</v>
      </c>
      <c r="E53" s="1" t="s">
        <v>33</v>
      </c>
      <c r="F53" s="1" t="s">
        <v>31</v>
      </c>
      <c r="G53" s="1" t="s">
        <v>23</v>
      </c>
      <c r="H53">
        <v>1</v>
      </c>
      <c r="I53" s="1" t="s">
        <v>16</v>
      </c>
      <c r="J53">
        <v>493</v>
      </c>
      <c r="K53" s="1" t="s">
        <v>24</v>
      </c>
      <c r="L53" s="1" t="s">
        <v>25</v>
      </c>
      <c r="M53">
        <v>560076</v>
      </c>
      <c r="N53" s="1" t="s">
        <v>19</v>
      </c>
    </row>
    <row r="54" spans="1:14" x14ac:dyDescent="0.3">
      <c r="A54">
        <v>69566742</v>
      </c>
      <c r="B54" s="1" t="s">
        <v>23</v>
      </c>
      <c r="C54" s="1" t="s">
        <v>26</v>
      </c>
      <c r="D54" s="1" t="s">
        <v>27</v>
      </c>
      <c r="E54" s="1" t="s">
        <v>30</v>
      </c>
      <c r="F54" s="1" t="s">
        <v>14</v>
      </c>
      <c r="G54" s="1" t="s">
        <v>23</v>
      </c>
      <c r="H54">
        <v>1</v>
      </c>
      <c r="I54" s="1" t="s">
        <v>16</v>
      </c>
      <c r="J54">
        <v>721</v>
      </c>
      <c r="K54" s="1" t="s">
        <v>88</v>
      </c>
      <c r="L54" s="1" t="s">
        <v>40</v>
      </c>
      <c r="M54">
        <v>506001</v>
      </c>
      <c r="N54" s="1" t="s">
        <v>19</v>
      </c>
    </row>
    <row r="55" spans="1:14" x14ac:dyDescent="0.3">
      <c r="A55">
        <v>24656334</v>
      </c>
      <c r="B55" s="1" t="s">
        <v>23</v>
      </c>
      <c r="C55" s="1" t="s">
        <v>26</v>
      </c>
      <c r="D55" s="1" t="s">
        <v>27</v>
      </c>
      <c r="E55" s="1" t="s">
        <v>13</v>
      </c>
      <c r="F55" s="1" t="s">
        <v>43</v>
      </c>
      <c r="G55" s="1" t="s">
        <v>23</v>
      </c>
      <c r="H55">
        <v>1</v>
      </c>
      <c r="I55" s="1" t="s">
        <v>16</v>
      </c>
      <c r="J55">
        <v>597</v>
      </c>
      <c r="K55" s="1" t="s">
        <v>89</v>
      </c>
      <c r="L55" s="1" t="s">
        <v>50</v>
      </c>
      <c r="M55">
        <v>328024</v>
      </c>
      <c r="N55" s="1" t="s">
        <v>19</v>
      </c>
    </row>
    <row r="56" spans="1:14" x14ac:dyDescent="0.3">
      <c r="A56">
        <v>12081117</v>
      </c>
      <c r="B56" s="1" t="s">
        <v>23</v>
      </c>
      <c r="C56" s="1" t="s">
        <v>26</v>
      </c>
      <c r="D56" s="1" t="s">
        <v>27</v>
      </c>
      <c r="E56" s="1" t="s">
        <v>21</v>
      </c>
      <c r="F56" s="1" t="s">
        <v>31</v>
      </c>
      <c r="G56" s="1" t="s">
        <v>23</v>
      </c>
      <c r="H56">
        <v>1</v>
      </c>
      <c r="I56" s="1" t="s">
        <v>16</v>
      </c>
      <c r="J56">
        <v>399</v>
      </c>
      <c r="K56" s="1" t="s">
        <v>66</v>
      </c>
      <c r="L56" s="1" t="s">
        <v>59</v>
      </c>
      <c r="M56">
        <v>781029</v>
      </c>
      <c r="N56" s="1" t="s">
        <v>19</v>
      </c>
    </row>
    <row r="57" spans="1:14" x14ac:dyDescent="0.3">
      <c r="A57">
        <v>37941903</v>
      </c>
      <c r="B57" s="1" t="s">
        <v>23</v>
      </c>
      <c r="C57" s="1" t="s">
        <v>26</v>
      </c>
      <c r="D57" s="1" t="s">
        <v>27</v>
      </c>
      <c r="E57" s="1" t="s">
        <v>13</v>
      </c>
      <c r="F57" s="1" t="s">
        <v>14</v>
      </c>
      <c r="G57" s="1" t="s">
        <v>23</v>
      </c>
      <c r="H57">
        <v>1</v>
      </c>
      <c r="I57" s="1" t="s">
        <v>16</v>
      </c>
      <c r="J57">
        <v>888</v>
      </c>
      <c r="K57" s="1" t="s">
        <v>90</v>
      </c>
      <c r="L57" s="1" t="s">
        <v>25</v>
      </c>
      <c r="M57">
        <v>560103</v>
      </c>
      <c r="N57" s="1" t="s">
        <v>19</v>
      </c>
    </row>
    <row r="58" spans="1:14" x14ac:dyDescent="0.3">
      <c r="A58">
        <v>26805159</v>
      </c>
      <c r="B58" s="1" t="s">
        <v>23</v>
      </c>
      <c r="C58" s="1" t="s">
        <v>26</v>
      </c>
      <c r="D58" s="1" t="s">
        <v>27</v>
      </c>
      <c r="E58" s="1" t="s">
        <v>21</v>
      </c>
      <c r="F58" s="1" t="s">
        <v>41</v>
      </c>
      <c r="G58" s="1" t="s">
        <v>23</v>
      </c>
      <c r="H58">
        <v>1</v>
      </c>
      <c r="I58" s="1" t="s">
        <v>16</v>
      </c>
      <c r="J58">
        <v>353</v>
      </c>
      <c r="K58" s="1" t="s">
        <v>39</v>
      </c>
      <c r="L58" s="1" t="s">
        <v>40</v>
      </c>
      <c r="M58">
        <v>500072</v>
      </c>
      <c r="N58" s="1" t="s">
        <v>19</v>
      </c>
    </row>
    <row r="59" spans="1:14" x14ac:dyDescent="0.3">
      <c r="A59">
        <v>46846743</v>
      </c>
      <c r="B59" s="1" t="s">
        <v>20</v>
      </c>
      <c r="C59" s="1" t="s">
        <v>11</v>
      </c>
      <c r="D59" s="1" t="s">
        <v>12</v>
      </c>
      <c r="E59" s="1" t="s">
        <v>13</v>
      </c>
      <c r="F59" s="1" t="s">
        <v>28</v>
      </c>
      <c r="G59" s="1" t="s">
        <v>23</v>
      </c>
      <c r="H59">
        <v>1</v>
      </c>
      <c r="I59" s="1" t="s">
        <v>16</v>
      </c>
      <c r="J59">
        <v>599</v>
      </c>
      <c r="K59" s="1" t="s">
        <v>24</v>
      </c>
      <c r="L59" s="1" t="s">
        <v>25</v>
      </c>
      <c r="M59">
        <v>560023</v>
      </c>
      <c r="N59" s="1" t="s">
        <v>19</v>
      </c>
    </row>
    <row r="60" spans="1:14" x14ac:dyDescent="0.3">
      <c r="A60">
        <v>4696366</v>
      </c>
      <c r="B60" s="1" t="s">
        <v>23</v>
      </c>
      <c r="C60" s="1" t="s">
        <v>26</v>
      </c>
      <c r="D60" s="1" t="s">
        <v>27</v>
      </c>
      <c r="E60" s="1" t="s">
        <v>21</v>
      </c>
      <c r="F60" s="1" t="s">
        <v>56</v>
      </c>
      <c r="G60" s="1" t="s">
        <v>23</v>
      </c>
      <c r="H60">
        <v>1</v>
      </c>
      <c r="I60" s="1" t="s">
        <v>16</v>
      </c>
      <c r="J60">
        <v>518</v>
      </c>
      <c r="K60" s="1" t="s">
        <v>91</v>
      </c>
      <c r="L60" s="1" t="s">
        <v>18</v>
      </c>
      <c r="M60">
        <v>440022</v>
      </c>
      <c r="N60" s="1" t="s">
        <v>19</v>
      </c>
    </row>
    <row r="61" spans="1:14" x14ac:dyDescent="0.3">
      <c r="A61">
        <v>21614709</v>
      </c>
      <c r="B61" s="1" t="s">
        <v>23</v>
      </c>
      <c r="C61" s="1" t="s">
        <v>26</v>
      </c>
      <c r="D61" s="1" t="s">
        <v>27</v>
      </c>
      <c r="E61" s="1" t="s">
        <v>13</v>
      </c>
      <c r="F61" s="1" t="s">
        <v>43</v>
      </c>
      <c r="G61" s="1" t="s">
        <v>23</v>
      </c>
      <c r="H61">
        <v>1</v>
      </c>
      <c r="I61" s="1" t="s">
        <v>16</v>
      </c>
      <c r="J61">
        <v>852</v>
      </c>
      <c r="K61" s="1" t="s">
        <v>76</v>
      </c>
      <c r="L61" s="1" t="s">
        <v>37</v>
      </c>
      <c r="M61">
        <v>201306</v>
      </c>
      <c r="N61" s="1" t="s">
        <v>19</v>
      </c>
    </row>
    <row r="62" spans="1:14" x14ac:dyDescent="0.3">
      <c r="A62">
        <v>74781134</v>
      </c>
      <c r="B62" s="1" t="s">
        <v>23</v>
      </c>
      <c r="C62" s="1" t="s">
        <v>26</v>
      </c>
      <c r="D62" s="1" t="s">
        <v>27</v>
      </c>
      <c r="E62" s="1" t="s">
        <v>13</v>
      </c>
      <c r="F62" s="1" t="s">
        <v>56</v>
      </c>
      <c r="G62" s="1" t="s">
        <v>23</v>
      </c>
      <c r="H62">
        <v>1</v>
      </c>
      <c r="I62" s="1" t="s">
        <v>16</v>
      </c>
      <c r="J62">
        <v>824</v>
      </c>
      <c r="K62" s="1" t="s">
        <v>92</v>
      </c>
      <c r="L62" s="1" t="s">
        <v>18</v>
      </c>
      <c r="M62">
        <v>400607</v>
      </c>
      <c r="N62" s="1" t="s">
        <v>19</v>
      </c>
    </row>
    <row r="63" spans="1:14" x14ac:dyDescent="0.3">
      <c r="A63">
        <v>29113959</v>
      </c>
      <c r="B63" s="1" t="s">
        <v>23</v>
      </c>
      <c r="C63" s="1" t="s">
        <v>26</v>
      </c>
      <c r="D63" s="1" t="s">
        <v>27</v>
      </c>
      <c r="E63" s="1" t="s">
        <v>13</v>
      </c>
      <c r="F63" s="1" t="s">
        <v>41</v>
      </c>
      <c r="G63" s="1" t="s">
        <v>23</v>
      </c>
      <c r="H63">
        <v>1</v>
      </c>
      <c r="I63" s="1" t="s">
        <v>16</v>
      </c>
      <c r="J63">
        <v>909</v>
      </c>
      <c r="K63" s="1" t="s">
        <v>60</v>
      </c>
      <c r="L63" s="1" t="s">
        <v>61</v>
      </c>
      <c r="M63">
        <v>834004</v>
      </c>
      <c r="N63" s="1" t="s">
        <v>19</v>
      </c>
    </row>
    <row r="64" spans="1:14" x14ac:dyDescent="0.3">
      <c r="A64">
        <v>85241919</v>
      </c>
      <c r="B64" s="1" t="s">
        <v>23</v>
      </c>
      <c r="C64" s="1" t="s">
        <v>26</v>
      </c>
      <c r="D64" s="1" t="s">
        <v>27</v>
      </c>
      <c r="E64" s="1" t="s">
        <v>33</v>
      </c>
      <c r="F64" s="1" t="s">
        <v>31</v>
      </c>
      <c r="G64" s="1" t="s">
        <v>23</v>
      </c>
      <c r="H64">
        <v>1</v>
      </c>
      <c r="I64" s="1" t="s">
        <v>16</v>
      </c>
      <c r="J64">
        <v>432</v>
      </c>
      <c r="K64" s="1" t="s">
        <v>65</v>
      </c>
      <c r="L64" s="1" t="s">
        <v>18</v>
      </c>
      <c r="M64">
        <v>411014</v>
      </c>
      <c r="N64" s="1" t="s">
        <v>19</v>
      </c>
    </row>
    <row r="65" spans="1:14" x14ac:dyDescent="0.3">
      <c r="A65">
        <v>52971512</v>
      </c>
      <c r="B65" s="1" t="s">
        <v>23</v>
      </c>
      <c r="C65" s="1" t="s">
        <v>26</v>
      </c>
      <c r="D65" s="1" t="s">
        <v>27</v>
      </c>
      <c r="E65" s="1" t="s">
        <v>13</v>
      </c>
      <c r="F65" s="1" t="s">
        <v>31</v>
      </c>
      <c r="G65" s="1" t="s">
        <v>23</v>
      </c>
      <c r="H65">
        <v>1</v>
      </c>
      <c r="I65" s="1" t="s">
        <v>16</v>
      </c>
      <c r="J65">
        <v>545</v>
      </c>
      <c r="K65" s="1" t="s">
        <v>24</v>
      </c>
      <c r="L65" s="1" t="s">
        <v>25</v>
      </c>
      <c r="M65">
        <v>560040</v>
      </c>
      <c r="N65" s="1" t="s">
        <v>19</v>
      </c>
    </row>
    <row r="66" spans="1:14" x14ac:dyDescent="0.3">
      <c r="A66">
        <v>28759528</v>
      </c>
      <c r="B66" s="1" t="s">
        <v>23</v>
      </c>
      <c r="C66" s="1" t="s">
        <v>26</v>
      </c>
      <c r="D66" s="1" t="s">
        <v>27</v>
      </c>
      <c r="E66" s="1" t="s">
        <v>13</v>
      </c>
      <c r="F66" s="1" t="s">
        <v>22</v>
      </c>
      <c r="G66" s="1" t="s">
        <v>23</v>
      </c>
      <c r="H66">
        <v>1</v>
      </c>
      <c r="I66" s="1" t="s">
        <v>16</v>
      </c>
      <c r="J66">
        <v>1146</v>
      </c>
      <c r="K66" s="1" t="s">
        <v>94</v>
      </c>
      <c r="L66" s="1" t="s">
        <v>25</v>
      </c>
      <c r="M66">
        <v>586201</v>
      </c>
      <c r="N66" s="1" t="s">
        <v>19</v>
      </c>
    </row>
    <row r="67" spans="1:14" x14ac:dyDescent="0.3">
      <c r="A67">
        <v>63155561</v>
      </c>
      <c r="B67" s="1" t="s">
        <v>20</v>
      </c>
      <c r="C67" s="1" t="s">
        <v>11</v>
      </c>
      <c r="D67" s="1" t="s">
        <v>12</v>
      </c>
      <c r="E67" s="1" t="s">
        <v>21</v>
      </c>
      <c r="F67" s="1" t="s">
        <v>28</v>
      </c>
      <c r="G67" s="1" t="s">
        <v>23</v>
      </c>
      <c r="H67">
        <v>1</v>
      </c>
      <c r="I67" s="1" t="s">
        <v>16</v>
      </c>
      <c r="J67">
        <v>696</v>
      </c>
      <c r="K67" s="1" t="s">
        <v>34</v>
      </c>
      <c r="L67" s="1" t="s">
        <v>35</v>
      </c>
      <c r="M67">
        <v>600041</v>
      </c>
      <c r="N67" s="1" t="s">
        <v>19</v>
      </c>
    </row>
    <row r="68" spans="1:14" x14ac:dyDescent="0.3">
      <c r="A68">
        <v>78028367</v>
      </c>
      <c r="B68" s="1" t="s">
        <v>23</v>
      </c>
      <c r="C68" s="1" t="s">
        <v>26</v>
      </c>
      <c r="D68" s="1" t="s">
        <v>27</v>
      </c>
      <c r="E68" s="1" t="s">
        <v>21</v>
      </c>
      <c r="F68" s="1" t="s">
        <v>56</v>
      </c>
      <c r="G68" s="1" t="s">
        <v>23</v>
      </c>
      <c r="H68">
        <v>1</v>
      </c>
      <c r="I68" s="1" t="s">
        <v>16</v>
      </c>
      <c r="J68">
        <v>432</v>
      </c>
      <c r="K68" s="1" t="s">
        <v>17</v>
      </c>
      <c r="L68" s="1" t="s">
        <v>18</v>
      </c>
      <c r="M68">
        <v>400080</v>
      </c>
      <c r="N68" s="1" t="s">
        <v>19</v>
      </c>
    </row>
    <row r="69" spans="1:14" x14ac:dyDescent="0.3">
      <c r="A69">
        <v>17515567</v>
      </c>
      <c r="B69" s="1" t="s">
        <v>20</v>
      </c>
      <c r="C69" s="1" t="s">
        <v>11</v>
      </c>
      <c r="D69" s="1" t="s">
        <v>12</v>
      </c>
      <c r="E69" s="1" t="s">
        <v>13</v>
      </c>
      <c r="F69" s="1" t="s">
        <v>14</v>
      </c>
      <c r="G69" s="1" t="s">
        <v>23</v>
      </c>
      <c r="H69">
        <v>1</v>
      </c>
      <c r="I69" s="1" t="s">
        <v>16</v>
      </c>
      <c r="J69">
        <v>631</v>
      </c>
      <c r="K69" s="1" t="s">
        <v>95</v>
      </c>
      <c r="L69" s="1" t="s">
        <v>25</v>
      </c>
      <c r="M69">
        <v>560001</v>
      </c>
      <c r="N69" s="1" t="s">
        <v>19</v>
      </c>
    </row>
    <row r="70" spans="1:14" x14ac:dyDescent="0.3">
      <c r="A70">
        <v>72899562</v>
      </c>
      <c r="B70" s="1" t="s">
        <v>23</v>
      </c>
      <c r="C70" s="1" t="s">
        <v>26</v>
      </c>
      <c r="D70" s="1" t="s">
        <v>27</v>
      </c>
      <c r="E70" s="1" t="s">
        <v>21</v>
      </c>
      <c r="F70" s="1" t="s">
        <v>41</v>
      </c>
      <c r="G70" s="1" t="s">
        <v>23</v>
      </c>
      <c r="H70">
        <v>1</v>
      </c>
      <c r="I70" s="1" t="s">
        <v>16</v>
      </c>
      <c r="J70">
        <v>316</v>
      </c>
      <c r="K70" s="1" t="s">
        <v>24</v>
      </c>
      <c r="L70" s="1" t="s">
        <v>25</v>
      </c>
      <c r="M70">
        <v>560098</v>
      </c>
      <c r="N70" s="1" t="s">
        <v>19</v>
      </c>
    </row>
    <row r="71" spans="1:14" x14ac:dyDescent="0.3">
      <c r="A71">
        <v>18886709</v>
      </c>
      <c r="B71" s="1" t="s">
        <v>20</v>
      </c>
      <c r="C71" s="1" t="s">
        <v>11</v>
      </c>
      <c r="D71" s="1" t="s">
        <v>12</v>
      </c>
      <c r="E71" s="1" t="s">
        <v>21</v>
      </c>
      <c r="F71" s="1" t="s">
        <v>28</v>
      </c>
      <c r="G71" s="1" t="s">
        <v>23</v>
      </c>
      <c r="H71">
        <v>1</v>
      </c>
      <c r="I71" s="1" t="s">
        <v>16</v>
      </c>
      <c r="J71">
        <v>362</v>
      </c>
      <c r="K71" s="1" t="s">
        <v>96</v>
      </c>
      <c r="L71" s="1" t="s">
        <v>71</v>
      </c>
      <c r="M71">
        <v>760002</v>
      </c>
      <c r="N71" s="1" t="s">
        <v>19</v>
      </c>
    </row>
    <row r="72" spans="1:14" x14ac:dyDescent="0.3">
      <c r="A72">
        <v>75809130</v>
      </c>
      <c r="B72" s="1" t="s">
        <v>23</v>
      </c>
      <c r="C72" s="1" t="s">
        <v>26</v>
      </c>
      <c r="D72" s="1" t="s">
        <v>27</v>
      </c>
      <c r="E72" s="1" t="s">
        <v>21</v>
      </c>
      <c r="F72" s="1" t="s">
        <v>31</v>
      </c>
      <c r="G72" s="1" t="s">
        <v>23</v>
      </c>
      <c r="H72">
        <v>1</v>
      </c>
      <c r="I72" s="1" t="s">
        <v>16</v>
      </c>
      <c r="J72">
        <v>329</v>
      </c>
      <c r="K72" s="1" t="s">
        <v>39</v>
      </c>
      <c r="L72" s="1" t="s">
        <v>40</v>
      </c>
      <c r="M72">
        <v>500085</v>
      </c>
      <c r="N72" s="1" t="s">
        <v>19</v>
      </c>
    </row>
    <row r="73" spans="1:14" x14ac:dyDescent="0.3">
      <c r="A73">
        <v>39269955</v>
      </c>
      <c r="B73" s="1" t="s">
        <v>23</v>
      </c>
      <c r="C73" s="1" t="s">
        <v>26</v>
      </c>
      <c r="D73" s="1" t="s">
        <v>27</v>
      </c>
      <c r="E73" s="1" t="s">
        <v>21</v>
      </c>
      <c r="F73" s="1" t="s">
        <v>41</v>
      </c>
      <c r="G73" s="1" t="s">
        <v>23</v>
      </c>
      <c r="H73">
        <v>1</v>
      </c>
      <c r="I73" s="1" t="s">
        <v>16</v>
      </c>
      <c r="J73">
        <v>399</v>
      </c>
      <c r="K73" s="1" t="s">
        <v>65</v>
      </c>
      <c r="L73" s="1" t="s">
        <v>18</v>
      </c>
      <c r="M73">
        <v>411045</v>
      </c>
      <c r="N73" s="1" t="s">
        <v>19</v>
      </c>
    </row>
    <row r="74" spans="1:14" x14ac:dyDescent="0.3">
      <c r="A74">
        <v>53521913</v>
      </c>
      <c r="B74" s="1" t="s">
        <v>23</v>
      </c>
      <c r="C74" s="1" t="s">
        <v>26</v>
      </c>
      <c r="D74" s="1" t="s">
        <v>27</v>
      </c>
      <c r="E74" s="1" t="s">
        <v>13</v>
      </c>
      <c r="F74" s="1" t="s">
        <v>22</v>
      </c>
      <c r="G74" s="1" t="s">
        <v>23</v>
      </c>
      <c r="H74">
        <v>1</v>
      </c>
      <c r="I74" s="1" t="s">
        <v>16</v>
      </c>
      <c r="J74">
        <v>751</v>
      </c>
      <c r="K74" s="1" t="s">
        <v>58</v>
      </c>
      <c r="L74" s="1" t="s">
        <v>59</v>
      </c>
      <c r="M74">
        <v>784001</v>
      </c>
      <c r="N74" s="1" t="s">
        <v>19</v>
      </c>
    </row>
    <row r="75" spans="1:14" x14ac:dyDescent="0.3">
      <c r="A75">
        <v>32687538</v>
      </c>
      <c r="B75" s="1" t="s">
        <v>23</v>
      </c>
      <c r="C75" s="1" t="s">
        <v>26</v>
      </c>
      <c r="D75" s="1" t="s">
        <v>27</v>
      </c>
      <c r="E75" s="1" t="s">
        <v>30</v>
      </c>
      <c r="F75" s="1" t="s">
        <v>28</v>
      </c>
      <c r="G75" s="1" t="s">
        <v>23</v>
      </c>
      <c r="H75">
        <v>1</v>
      </c>
      <c r="I75" s="1" t="s">
        <v>16</v>
      </c>
      <c r="J75">
        <v>791</v>
      </c>
      <c r="K75" s="1" t="s">
        <v>97</v>
      </c>
      <c r="L75" s="1" t="s">
        <v>93</v>
      </c>
      <c r="M75">
        <v>383001</v>
      </c>
      <c r="N75" s="1" t="s">
        <v>19</v>
      </c>
    </row>
    <row r="76" spans="1:14" x14ac:dyDescent="0.3">
      <c r="A76">
        <v>3819562</v>
      </c>
      <c r="B76" s="1" t="s">
        <v>23</v>
      </c>
      <c r="C76" s="1" t="s">
        <v>26</v>
      </c>
      <c r="D76" s="1" t="s">
        <v>27</v>
      </c>
      <c r="E76" s="1" t="s">
        <v>13</v>
      </c>
      <c r="F76" s="1" t="s">
        <v>22</v>
      </c>
      <c r="G76" s="1" t="s">
        <v>23</v>
      </c>
      <c r="H76">
        <v>1</v>
      </c>
      <c r="I76" s="1" t="s">
        <v>16</v>
      </c>
      <c r="J76">
        <v>684</v>
      </c>
      <c r="K76" s="1" t="s">
        <v>98</v>
      </c>
      <c r="L76" s="1" t="s">
        <v>80</v>
      </c>
      <c r="M76">
        <v>700048</v>
      </c>
      <c r="N76" s="1" t="s">
        <v>19</v>
      </c>
    </row>
    <row r="77" spans="1:14" x14ac:dyDescent="0.3">
      <c r="A77">
        <v>57081126</v>
      </c>
      <c r="B77" s="1" t="s">
        <v>23</v>
      </c>
      <c r="C77" s="1" t="s">
        <v>26</v>
      </c>
      <c r="D77" s="1" t="s">
        <v>27</v>
      </c>
      <c r="E77" s="1" t="s">
        <v>21</v>
      </c>
      <c r="F77" s="1" t="s">
        <v>41</v>
      </c>
      <c r="G77" s="1" t="s">
        <v>23</v>
      </c>
      <c r="H77">
        <v>1</v>
      </c>
      <c r="I77" s="1" t="s">
        <v>16</v>
      </c>
      <c r="J77">
        <v>499</v>
      </c>
      <c r="K77" s="1" t="s">
        <v>39</v>
      </c>
      <c r="L77" s="1" t="s">
        <v>40</v>
      </c>
      <c r="M77">
        <v>502032</v>
      </c>
      <c r="N77" s="1" t="s">
        <v>19</v>
      </c>
    </row>
    <row r="78" spans="1:14" x14ac:dyDescent="0.3">
      <c r="A78">
        <v>39345930</v>
      </c>
      <c r="B78" s="1" t="s">
        <v>10</v>
      </c>
      <c r="C78" s="1" t="s">
        <v>11</v>
      </c>
      <c r="D78" s="1" t="s">
        <v>12</v>
      </c>
      <c r="E78" s="1" t="s">
        <v>13</v>
      </c>
      <c r="F78" s="1" t="s">
        <v>56</v>
      </c>
      <c r="G78" s="1" t="s">
        <v>15</v>
      </c>
      <c r="H78">
        <v>2</v>
      </c>
      <c r="I78" s="1" t="s">
        <v>16</v>
      </c>
      <c r="J78">
        <v>1105</v>
      </c>
      <c r="K78" s="1" t="s">
        <v>99</v>
      </c>
      <c r="L78" s="1" t="s">
        <v>100</v>
      </c>
      <c r="M78">
        <v>248001</v>
      </c>
      <c r="N78" s="1" t="s">
        <v>19</v>
      </c>
    </row>
    <row r="79" spans="1:14" x14ac:dyDescent="0.3">
      <c r="A79">
        <v>36553153</v>
      </c>
      <c r="B79" s="1" t="s">
        <v>20</v>
      </c>
      <c r="C79" s="1" t="s">
        <v>11</v>
      </c>
      <c r="D79" s="1" t="s">
        <v>12</v>
      </c>
      <c r="E79" s="1" t="s">
        <v>101</v>
      </c>
      <c r="F79" s="1" t="s">
        <v>22</v>
      </c>
      <c r="G79" s="1" t="s">
        <v>23</v>
      </c>
      <c r="H79">
        <v>1</v>
      </c>
      <c r="I79" s="1" t="s">
        <v>16</v>
      </c>
      <c r="J79">
        <v>377</v>
      </c>
      <c r="K79" s="1" t="s">
        <v>79</v>
      </c>
      <c r="L79" s="1" t="s">
        <v>80</v>
      </c>
      <c r="M79">
        <v>700078</v>
      </c>
      <c r="N79" s="1" t="s">
        <v>19</v>
      </c>
    </row>
    <row r="80" spans="1:14" x14ac:dyDescent="0.3">
      <c r="A80">
        <v>52237125</v>
      </c>
      <c r="B80" s="1" t="s">
        <v>23</v>
      </c>
      <c r="C80" s="1" t="s">
        <v>26</v>
      </c>
      <c r="D80" s="1" t="s">
        <v>27</v>
      </c>
      <c r="E80" s="1" t="s">
        <v>30</v>
      </c>
      <c r="F80" s="1" t="s">
        <v>56</v>
      </c>
      <c r="G80" s="1" t="s">
        <v>23</v>
      </c>
      <c r="H80">
        <v>1</v>
      </c>
      <c r="I80" s="1" t="s">
        <v>16</v>
      </c>
      <c r="J80">
        <v>744</v>
      </c>
      <c r="K80" s="1" t="s">
        <v>102</v>
      </c>
      <c r="L80" s="1" t="s">
        <v>35</v>
      </c>
      <c r="M80">
        <v>636705</v>
      </c>
      <c r="N80" s="1" t="s">
        <v>19</v>
      </c>
    </row>
    <row r="81" spans="1:14" x14ac:dyDescent="0.3">
      <c r="A81">
        <v>40323520</v>
      </c>
      <c r="B81" s="1" t="s">
        <v>23</v>
      </c>
      <c r="C81" s="1" t="s">
        <v>26</v>
      </c>
      <c r="D81" s="1" t="s">
        <v>27</v>
      </c>
      <c r="E81" s="1" t="s">
        <v>30</v>
      </c>
      <c r="F81" s="1" t="s">
        <v>28</v>
      </c>
      <c r="G81" s="1" t="s">
        <v>23</v>
      </c>
      <c r="H81">
        <v>1</v>
      </c>
      <c r="I81" s="1" t="s">
        <v>16</v>
      </c>
      <c r="J81">
        <v>744</v>
      </c>
      <c r="K81" s="1" t="s">
        <v>99</v>
      </c>
      <c r="L81" s="1" t="s">
        <v>100</v>
      </c>
      <c r="M81">
        <v>248005</v>
      </c>
      <c r="N81" s="1" t="s">
        <v>19</v>
      </c>
    </row>
    <row r="82" spans="1:14" x14ac:dyDescent="0.3">
      <c r="A82">
        <v>52484367</v>
      </c>
      <c r="B82" s="1" t="s">
        <v>20</v>
      </c>
      <c r="C82" s="1" t="s">
        <v>11</v>
      </c>
      <c r="D82" s="1" t="s">
        <v>12</v>
      </c>
      <c r="E82" s="1" t="s">
        <v>30</v>
      </c>
      <c r="F82" s="1" t="s">
        <v>41</v>
      </c>
      <c r="G82" s="1" t="s">
        <v>23</v>
      </c>
      <c r="H82">
        <v>1</v>
      </c>
      <c r="I82" s="1" t="s">
        <v>16</v>
      </c>
      <c r="J82">
        <v>859</v>
      </c>
      <c r="K82" s="1" t="s">
        <v>49</v>
      </c>
      <c r="L82" s="1" t="s">
        <v>50</v>
      </c>
      <c r="M82">
        <v>303905</v>
      </c>
      <c r="N82" s="1" t="s">
        <v>19</v>
      </c>
    </row>
    <row r="83" spans="1:14" x14ac:dyDescent="0.3">
      <c r="A83">
        <v>35473114</v>
      </c>
      <c r="B83" s="1" t="s">
        <v>23</v>
      </c>
      <c r="C83" s="1" t="s">
        <v>26</v>
      </c>
      <c r="D83" s="1" t="s">
        <v>27</v>
      </c>
      <c r="E83" s="1" t="s">
        <v>21</v>
      </c>
      <c r="F83" s="1" t="s">
        <v>56</v>
      </c>
      <c r="G83" s="1" t="s">
        <v>23</v>
      </c>
      <c r="H83">
        <v>1</v>
      </c>
      <c r="I83" s="1" t="s">
        <v>16</v>
      </c>
      <c r="J83">
        <v>487</v>
      </c>
      <c r="K83" s="1" t="s">
        <v>103</v>
      </c>
      <c r="L83" s="1" t="s">
        <v>93</v>
      </c>
      <c r="M83">
        <v>390019</v>
      </c>
      <c r="N83" s="1" t="s">
        <v>19</v>
      </c>
    </row>
    <row r="84" spans="1:14" x14ac:dyDescent="0.3">
      <c r="A84">
        <v>78253913</v>
      </c>
      <c r="B84" s="1" t="s">
        <v>23</v>
      </c>
      <c r="C84" s="1" t="s">
        <v>26</v>
      </c>
      <c r="D84" s="1" t="s">
        <v>27</v>
      </c>
      <c r="E84" s="1" t="s">
        <v>30</v>
      </c>
      <c r="F84" s="1" t="s">
        <v>22</v>
      </c>
      <c r="G84" s="1" t="s">
        <v>23</v>
      </c>
      <c r="H84">
        <v>1</v>
      </c>
      <c r="I84" s="1" t="s">
        <v>16</v>
      </c>
      <c r="J84">
        <v>825</v>
      </c>
      <c r="K84" s="1" t="s">
        <v>104</v>
      </c>
      <c r="L84" s="1" t="s">
        <v>73</v>
      </c>
      <c r="M84">
        <v>680506</v>
      </c>
      <c r="N84" s="1" t="s">
        <v>19</v>
      </c>
    </row>
    <row r="85" spans="1:14" x14ac:dyDescent="0.3">
      <c r="A85">
        <v>36089906</v>
      </c>
      <c r="B85" s="1" t="s">
        <v>23</v>
      </c>
      <c r="C85" s="1" t="s">
        <v>26</v>
      </c>
      <c r="D85" s="1" t="s">
        <v>27</v>
      </c>
      <c r="E85" s="1" t="s">
        <v>13</v>
      </c>
      <c r="F85" s="1" t="s">
        <v>56</v>
      </c>
      <c r="G85" s="1" t="s">
        <v>23</v>
      </c>
      <c r="H85">
        <v>1</v>
      </c>
      <c r="I85" s="1" t="s">
        <v>16</v>
      </c>
      <c r="J85">
        <v>680</v>
      </c>
      <c r="K85" s="1" t="s">
        <v>105</v>
      </c>
      <c r="L85" s="1" t="s">
        <v>106</v>
      </c>
      <c r="M85">
        <v>800026</v>
      </c>
      <c r="N85" s="1" t="s">
        <v>19</v>
      </c>
    </row>
    <row r="86" spans="1:14" x14ac:dyDescent="0.3">
      <c r="A86">
        <v>2639521</v>
      </c>
      <c r="B86" s="1" t="s">
        <v>20</v>
      </c>
      <c r="C86" s="1" t="s">
        <v>11</v>
      </c>
      <c r="D86" s="1" t="s">
        <v>12</v>
      </c>
      <c r="E86" s="1" t="s">
        <v>21</v>
      </c>
      <c r="F86" s="1" t="s">
        <v>22</v>
      </c>
      <c r="G86" s="1" t="s">
        <v>23</v>
      </c>
      <c r="H86">
        <v>1</v>
      </c>
      <c r="I86" s="1" t="s">
        <v>16</v>
      </c>
      <c r="J86">
        <v>725</v>
      </c>
      <c r="K86" s="1" t="s">
        <v>34</v>
      </c>
      <c r="L86" s="1" t="s">
        <v>35</v>
      </c>
      <c r="M86">
        <v>600028</v>
      </c>
      <c r="N86" s="1" t="s">
        <v>19</v>
      </c>
    </row>
    <row r="87" spans="1:14" x14ac:dyDescent="0.3">
      <c r="A87">
        <v>45302723</v>
      </c>
      <c r="B87" s="1" t="s">
        <v>23</v>
      </c>
      <c r="C87" s="1" t="s">
        <v>26</v>
      </c>
      <c r="D87" s="1" t="s">
        <v>27</v>
      </c>
      <c r="E87" s="1" t="s">
        <v>13</v>
      </c>
      <c r="F87" s="1" t="s">
        <v>56</v>
      </c>
      <c r="G87" s="1" t="s">
        <v>23</v>
      </c>
      <c r="H87">
        <v>1</v>
      </c>
      <c r="I87" s="1" t="s">
        <v>16</v>
      </c>
      <c r="J87">
        <v>696</v>
      </c>
      <c r="K87" s="1" t="s">
        <v>103</v>
      </c>
      <c r="L87" s="1" t="s">
        <v>93</v>
      </c>
      <c r="M87">
        <v>390018</v>
      </c>
      <c r="N87" s="1" t="s">
        <v>19</v>
      </c>
    </row>
    <row r="88" spans="1:14" x14ac:dyDescent="0.3">
      <c r="A88">
        <v>48270705</v>
      </c>
      <c r="B88" s="1" t="s">
        <v>23</v>
      </c>
      <c r="C88" s="1" t="s">
        <v>26</v>
      </c>
      <c r="D88" s="1" t="s">
        <v>27</v>
      </c>
      <c r="E88" s="1" t="s">
        <v>21</v>
      </c>
      <c r="F88" s="1" t="s">
        <v>31</v>
      </c>
      <c r="G88" s="1" t="s">
        <v>23</v>
      </c>
      <c r="H88">
        <v>1</v>
      </c>
      <c r="I88" s="1" t="s">
        <v>16</v>
      </c>
      <c r="J88">
        <v>499</v>
      </c>
      <c r="K88" s="1" t="s">
        <v>103</v>
      </c>
      <c r="L88" s="1" t="s">
        <v>93</v>
      </c>
      <c r="M88">
        <v>390003</v>
      </c>
      <c r="N88" s="1" t="s">
        <v>19</v>
      </c>
    </row>
    <row r="89" spans="1:14" x14ac:dyDescent="0.3">
      <c r="A89">
        <v>22310703</v>
      </c>
      <c r="B89" s="1" t="s">
        <v>23</v>
      </c>
      <c r="C89" s="1" t="s">
        <v>26</v>
      </c>
      <c r="D89" s="1" t="s">
        <v>27</v>
      </c>
      <c r="E89" s="1" t="s">
        <v>13</v>
      </c>
      <c r="F89" s="1" t="s">
        <v>31</v>
      </c>
      <c r="G89" s="1" t="s">
        <v>23</v>
      </c>
      <c r="H89">
        <v>1</v>
      </c>
      <c r="I89" s="1" t="s">
        <v>16</v>
      </c>
      <c r="J89">
        <v>696</v>
      </c>
      <c r="K89" s="1" t="s">
        <v>107</v>
      </c>
      <c r="L89" s="1" t="s">
        <v>108</v>
      </c>
      <c r="M89">
        <v>180011</v>
      </c>
      <c r="N89" s="1" t="s">
        <v>19</v>
      </c>
    </row>
    <row r="90" spans="1:14" x14ac:dyDescent="0.3">
      <c r="A90">
        <v>29670748</v>
      </c>
      <c r="B90" s="1" t="s">
        <v>23</v>
      </c>
      <c r="C90" s="1" t="s">
        <v>26</v>
      </c>
      <c r="D90" s="1" t="s">
        <v>27</v>
      </c>
      <c r="E90" s="1" t="s">
        <v>21</v>
      </c>
      <c r="F90" s="1" t="s">
        <v>22</v>
      </c>
      <c r="G90" s="1" t="s">
        <v>23</v>
      </c>
      <c r="H90">
        <v>1</v>
      </c>
      <c r="I90" s="1" t="s">
        <v>16</v>
      </c>
      <c r="J90">
        <v>406</v>
      </c>
      <c r="K90" s="1" t="s">
        <v>95</v>
      </c>
      <c r="L90" s="1" t="s">
        <v>25</v>
      </c>
      <c r="M90">
        <v>560026</v>
      </c>
      <c r="N90" s="1" t="s">
        <v>19</v>
      </c>
    </row>
    <row r="91" spans="1:14" x14ac:dyDescent="0.3">
      <c r="A91">
        <v>13706738</v>
      </c>
      <c r="B91" s="1" t="s">
        <v>23</v>
      </c>
      <c r="C91" s="1" t="s">
        <v>26</v>
      </c>
      <c r="D91" s="1" t="s">
        <v>27</v>
      </c>
      <c r="E91" s="1" t="s">
        <v>13</v>
      </c>
      <c r="F91" s="1" t="s">
        <v>14</v>
      </c>
      <c r="G91" s="1" t="s">
        <v>23</v>
      </c>
      <c r="H91">
        <v>1</v>
      </c>
      <c r="I91" s="1" t="s">
        <v>16</v>
      </c>
      <c r="J91">
        <v>852</v>
      </c>
      <c r="K91" s="1" t="s">
        <v>51</v>
      </c>
      <c r="L91" s="1" t="s">
        <v>52</v>
      </c>
      <c r="M91">
        <v>110036</v>
      </c>
      <c r="N91" s="1" t="s">
        <v>19</v>
      </c>
    </row>
    <row r="92" spans="1:14" x14ac:dyDescent="0.3">
      <c r="A92">
        <v>80357940</v>
      </c>
      <c r="B92" s="1" t="s">
        <v>23</v>
      </c>
      <c r="C92" s="1" t="s">
        <v>26</v>
      </c>
      <c r="D92" s="1" t="s">
        <v>27</v>
      </c>
      <c r="E92" s="1" t="s">
        <v>21</v>
      </c>
      <c r="F92" s="1" t="s">
        <v>41</v>
      </c>
      <c r="G92" s="1" t="s">
        <v>23</v>
      </c>
      <c r="H92">
        <v>1</v>
      </c>
      <c r="I92" s="1" t="s">
        <v>16</v>
      </c>
      <c r="J92">
        <v>399</v>
      </c>
      <c r="K92" s="1" t="s">
        <v>109</v>
      </c>
      <c r="L92" s="1" t="s">
        <v>54</v>
      </c>
      <c r="M92">
        <v>125039</v>
      </c>
      <c r="N92" s="1" t="s">
        <v>19</v>
      </c>
    </row>
    <row r="93" spans="1:14" x14ac:dyDescent="0.3">
      <c r="A93">
        <v>7326749</v>
      </c>
      <c r="B93" s="1" t="s">
        <v>23</v>
      </c>
      <c r="C93" s="1" t="s">
        <v>26</v>
      </c>
      <c r="D93" s="1" t="s">
        <v>27</v>
      </c>
      <c r="E93" s="1" t="s">
        <v>21</v>
      </c>
      <c r="F93" s="1" t="s">
        <v>41</v>
      </c>
      <c r="G93" s="1" t="s">
        <v>23</v>
      </c>
      <c r="H93">
        <v>1</v>
      </c>
      <c r="I93" s="1" t="s">
        <v>16</v>
      </c>
      <c r="J93">
        <v>432</v>
      </c>
      <c r="K93" s="1" t="s">
        <v>110</v>
      </c>
      <c r="L93" s="1" t="s">
        <v>93</v>
      </c>
      <c r="M93">
        <v>380051</v>
      </c>
      <c r="N93" s="1" t="s">
        <v>19</v>
      </c>
    </row>
    <row r="94" spans="1:14" x14ac:dyDescent="0.3">
      <c r="A94">
        <v>52294756</v>
      </c>
      <c r="B94" s="1" t="s">
        <v>20</v>
      </c>
      <c r="C94" s="1" t="s">
        <v>11</v>
      </c>
      <c r="D94" s="1" t="s">
        <v>12</v>
      </c>
      <c r="E94" s="1" t="s">
        <v>13</v>
      </c>
      <c r="F94" s="1" t="s">
        <v>41</v>
      </c>
      <c r="G94" s="1" t="s">
        <v>23</v>
      </c>
      <c r="H94">
        <v>1</v>
      </c>
      <c r="I94" s="1" t="s">
        <v>16</v>
      </c>
      <c r="J94">
        <v>1338</v>
      </c>
      <c r="K94" s="1" t="s">
        <v>111</v>
      </c>
      <c r="L94" s="1" t="s">
        <v>18</v>
      </c>
      <c r="M94">
        <v>421502</v>
      </c>
      <c r="N94" s="1" t="s">
        <v>19</v>
      </c>
    </row>
    <row r="95" spans="1:14" x14ac:dyDescent="0.3">
      <c r="A95">
        <v>19996319</v>
      </c>
      <c r="B95" s="1" t="s">
        <v>20</v>
      </c>
      <c r="C95" s="1" t="s">
        <v>11</v>
      </c>
      <c r="D95" s="1" t="s">
        <v>12</v>
      </c>
      <c r="E95" s="1" t="s">
        <v>30</v>
      </c>
      <c r="F95" s="1" t="s">
        <v>14</v>
      </c>
      <c r="G95" s="1" t="s">
        <v>23</v>
      </c>
      <c r="H95">
        <v>1</v>
      </c>
      <c r="I95" s="1" t="s">
        <v>16</v>
      </c>
      <c r="J95">
        <v>472</v>
      </c>
      <c r="K95" s="1" t="s">
        <v>112</v>
      </c>
      <c r="L95" s="1" t="s">
        <v>78</v>
      </c>
      <c r="M95">
        <v>474005</v>
      </c>
      <c r="N95" s="1" t="s">
        <v>19</v>
      </c>
    </row>
    <row r="96" spans="1:14" x14ac:dyDescent="0.3">
      <c r="A96">
        <v>87113145</v>
      </c>
      <c r="B96" s="1" t="s">
        <v>23</v>
      </c>
      <c r="C96" s="1" t="s">
        <v>26</v>
      </c>
      <c r="D96" s="1" t="s">
        <v>27</v>
      </c>
      <c r="E96" s="1" t="s">
        <v>13</v>
      </c>
      <c r="F96" s="1" t="s">
        <v>31</v>
      </c>
      <c r="G96" s="1" t="s">
        <v>23</v>
      </c>
      <c r="H96">
        <v>1</v>
      </c>
      <c r="I96" s="1" t="s">
        <v>16</v>
      </c>
      <c r="J96">
        <v>788</v>
      </c>
      <c r="K96" s="1" t="s">
        <v>51</v>
      </c>
      <c r="L96" s="1" t="s">
        <v>52</v>
      </c>
      <c r="M96">
        <v>110078</v>
      </c>
      <c r="N96" s="1" t="s">
        <v>19</v>
      </c>
    </row>
    <row r="97" spans="1:14" x14ac:dyDescent="0.3">
      <c r="A97">
        <v>5301158</v>
      </c>
      <c r="B97" s="1" t="s">
        <v>20</v>
      </c>
      <c r="C97" s="1" t="s">
        <v>11</v>
      </c>
      <c r="D97" s="1" t="s">
        <v>12</v>
      </c>
      <c r="E97" s="1" t="s">
        <v>13</v>
      </c>
      <c r="F97" s="1" t="s">
        <v>28</v>
      </c>
      <c r="G97" s="1" t="s">
        <v>23</v>
      </c>
      <c r="H97">
        <v>1</v>
      </c>
      <c r="I97" s="1" t="s">
        <v>16</v>
      </c>
      <c r="J97">
        <v>832</v>
      </c>
      <c r="K97" s="1" t="s">
        <v>113</v>
      </c>
      <c r="L97" s="1" t="s">
        <v>54</v>
      </c>
      <c r="M97">
        <v>124001</v>
      </c>
      <c r="N97" s="1" t="s">
        <v>19</v>
      </c>
    </row>
    <row r="98" spans="1:14" x14ac:dyDescent="0.3">
      <c r="A98">
        <v>24089911</v>
      </c>
      <c r="B98" s="1" t="s">
        <v>23</v>
      </c>
      <c r="C98" s="1" t="s">
        <v>26</v>
      </c>
      <c r="D98" s="1" t="s">
        <v>27</v>
      </c>
      <c r="E98" s="1" t="s">
        <v>13</v>
      </c>
      <c r="F98" s="1" t="s">
        <v>28</v>
      </c>
      <c r="G98" s="1" t="s">
        <v>23</v>
      </c>
      <c r="H98">
        <v>1</v>
      </c>
      <c r="I98" s="1" t="s">
        <v>16</v>
      </c>
      <c r="J98">
        <v>599</v>
      </c>
      <c r="K98" s="1" t="s">
        <v>113</v>
      </c>
      <c r="L98" s="1" t="s">
        <v>54</v>
      </c>
      <c r="M98">
        <v>124001</v>
      </c>
      <c r="N98" s="1" t="s">
        <v>19</v>
      </c>
    </row>
    <row r="99" spans="1:14" x14ac:dyDescent="0.3">
      <c r="A99">
        <v>15952340</v>
      </c>
      <c r="B99" s="1" t="s">
        <v>23</v>
      </c>
      <c r="C99" s="1" t="s">
        <v>26</v>
      </c>
      <c r="D99" s="1" t="s">
        <v>27</v>
      </c>
      <c r="E99" s="1" t="s">
        <v>13</v>
      </c>
      <c r="F99" s="1" t="s">
        <v>56</v>
      </c>
      <c r="G99" s="1" t="s">
        <v>23</v>
      </c>
      <c r="H99">
        <v>1</v>
      </c>
      <c r="I99" s="1" t="s">
        <v>16</v>
      </c>
      <c r="J99">
        <v>692</v>
      </c>
      <c r="K99" s="1" t="s">
        <v>98</v>
      </c>
      <c r="L99" s="1" t="s">
        <v>80</v>
      </c>
      <c r="M99">
        <v>700156</v>
      </c>
      <c r="N99" s="1" t="s">
        <v>19</v>
      </c>
    </row>
    <row r="100" spans="1:14" x14ac:dyDescent="0.3">
      <c r="A100">
        <v>1163500</v>
      </c>
      <c r="B100" s="1" t="s">
        <v>20</v>
      </c>
      <c r="C100" s="1" t="s">
        <v>11</v>
      </c>
      <c r="D100" s="1" t="s">
        <v>12</v>
      </c>
      <c r="E100" s="1" t="s">
        <v>33</v>
      </c>
      <c r="F100" s="1" t="s">
        <v>56</v>
      </c>
      <c r="G100" s="1" t="s">
        <v>23</v>
      </c>
      <c r="H100">
        <v>1</v>
      </c>
      <c r="I100" s="1" t="s">
        <v>16</v>
      </c>
      <c r="J100">
        <v>518</v>
      </c>
      <c r="K100" s="1" t="s">
        <v>17</v>
      </c>
      <c r="L100" s="1" t="s">
        <v>18</v>
      </c>
      <c r="M100">
        <v>400076</v>
      </c>
      <c r="N100" s="1" t="s">
        <v>19</v>
      </c>
    </row>
    <row r="101" spans="1:14" x14ac:dyDescent="0.3">
      <c r="A101">
        <v>21687512</v>
      </c>
      <c r="B101" s="1" t="s">
        <v>23</v>
      </c>
      <c r="C101" s="1" t="s">
        <v>26</v>
      </c>
      <c r="D101" s="1" t="s">
        <v>27</v>
      </c>
      <c r="E101" s="1" t="s">
        <v>13</v>
      </c>
      <c r="F101" s="1" t="s">
        <v>31</v>
      </c>
      <c r="G101" s="1" t="s">
        <v>23</v>
      </c>
      <c r="H101">
        <v>1</v>
      </c>
      <c r="I101" s="1" t="s">
        <v>16</v>
      </c>
      <c r="J101">
        <v>788</v>
      </c>
      <c r="K101" s="1" t="s">
        <v>51</v>
      </c>
      <c r="L101" s="1" t="s">
        <v>52</v>
      </c>
      <c r="M101">
        <v>110034</v>
      </c>
      <c r="N101" s="1" t="s">
        <v>19</v>
      </c>
    </row>
    <row r="102" spans="1:14" x14ac:dyDescent="0.3">
      <c r="A102">
        <v>91478731</v>
      </c>
      <c r="B102" s="1" t="s">
        <v>23</v>
      </c>
      <c r="C102" s="1" t="s">
        <v>26</v>
      </c>
      <c r="D102" s="1" t="s">
        <v>27</v>
      </c>
      <c r="E102" s="1" t="s">
        <v>21</v>
      </c>
      <c r="F102" s="1" t="s">
        <v>56</v>
      </c>
      <c r="G102" s="1" t="s">
        <v>23</v>
      </c>
      <c r="H102">
        <v>1</v>
      </c>
      <c r="I102" s="1" t="s">
        <v>16</v>
      </c>
      <c r="J102">
        <v>318</v>
      </c>
      <c r="K102" s="1" t="s">
        <v>39</v>
      </c>
      <c r="L102" s="1" t="s">
        <v>40</v>
      </c>
      <c r="M102">
        <v>500054</v>
      </c>
      <c r="N102" s="1" t="s">
        <v>19</v>
      </c>
    </row>
    <row r="103" spans="1:14" x14ac:dyDescent="0.3">
      <c r="A103">
        <v>64541150</v>
      </c>
      <c r="B103" s="1" t="s">
        <v>23</v>
      </c>
      <c r="C103" s="1" t="s">
        <v>26</v>
      </c>
      <c r="D103" s="1" t="s">
        <v>27</v>
      </c>
      <c r="E103" s="1" t="s">
        <v>13</v>
      </c>
      <c r="F103" s="1" t="s">
        <v>43</v>
      </c>
      <c r="G103" s="1" t="s">
        <v>23</v>
      </c>
      <c r="H103">
        <v>1</v>
      </c>
      <c r="I103" s="1" t="s">
        <v>16</v>
      </c>
      <c r="J103">
        <v>597</v>
      </c>
      <c r="K103" s="1" t="s">
        <v>39</v>
      </c>
      <c r="L103" s="1" t="s">
        <v>40</v>
      </c>
      <c r="M103">
        <v>500072</v>
      </c>
      <c r="N103" s="1" t="s">
        <v>19</v>
      </c>
    </row>
    <row r="104" spans="1:14" x14ac:dyDescent="0.3">
      <c r="A104">
        <v>57333945</v>
      </c>
      <c r="B104" s="1" t="s">
        <v>23</v>
      </c>
      <c r="C104" s="1" t="s">
        <v>26</v>
      </c>
      <c r="D104" s="1" t="s">
        <v>27</v>
      </c>
      <c r="E104" s="1" t="s">
        <v>13</v>
      </c>
      <c r="F104" s="1" t="s">
        <v>14</v>
      </c>
      <c r="G104" s="1" t="s">
        <v>23</v>
      </c>
      <c r="H104">
        <v>1</v>
      </c>
      <c r="I104" s="1" t="s">
        <v>16</v>
      </c>
      <c r="J104">
        <v>888</v>
      </c>
      <c r="K104" s="1" t="s">
        <v>105</v>
      </c>
      <c r="L104" s="1" t="s">
        <v>106</v>
      </c>
      <c r="M104">
        <v>800002</v>
      </c>
      <c r="N104" s="1" t="s">
        <v>19</v>
      </c>
    </row>
    <row r="105" spans="1:14" x14ac:dyDescent="0.3">
      <c r="A105">
        <v>66731556</v>
      </c>
      <c r="B105" s="1" t="s">
        <v>23</v>
      </c>
      <c r="C105" s="1" t="s">
        <v>26</v>
      </c>
      <c r="D105" s="1" t="s">
        <v>27</v>
      </c>
      <c r="E105" s="1" t="s">
        <v>21</v>
      </c>
      <c r="F105" s="1" t="s">
        <v>14</v>
      </c>
      <c r="G105" s="1" t="s">
        <v>23</v>
      </c>
      <c r="H105">
        <v>1</v>
      </c>
      <c r="I105" s="1" t="s">
        <v>16</v>
      </c>
      <c r="J105">
        <v>406</v>
      </c>
      <c r="K105" s="1" t="s">
        <v>114</v>
      </c>
      <c r="L105" s="1" t="s">
        <v>40</v>
      </c>
      <c r="M105">
        <v>505211</v>
      </c>
      <c r="N105" s="1" t="s">
        <v>19</v>
      </c>
    </row>
    <row r="106" spans="1:14" x14ac:dyDescent="0.3">
      <c r="A106">
        <v>78168308</v>
      </c>
      <c r="B106" s="1" t="s">
        <v>23</v>
      </c>
      <c r="C106" s="1" t="s">
        <v>26</v>
      </c>
      <c r="D106" s="1" t="s">
        <v>27</v>
      </c>
      <c r="E106" s="1" t="s">
        <v>13</v>
      </c>
      <c r="F106" s="1" t="s">
        <v>56</v>
      </c>
      <c r="G106" s="1" t="s">
        <v>23</v>
      </c>
      <c r="H106">
        <v>1</v>
      </c>
      <c r="I106" s="1" t="s">
        <v>16</v>
      </c>
      <c r="J106">
        <v>1186</v>
      </c>
      <c r="K106" s="1" t="s">
        <v>115</v>
      </c>
      <c r="L106" s="1" t="s">
        <v>100</v>
      </c>
      <c r="M106">
        <v>262501</v>
      </c>
      <c r="N106" s="1" t="s">
        <v>19</v>
      </c>
    </row>
    <row r="107" spans="1:14" x14ac:dyDescent="0.3">
      <c r="A107">
        <v>27373900</v>
      </c>
      <c r="B107" s="1" t="s">
        <v>10</v>
      </c>
      <c r="C107" s="1" t="s">
        <v>26</v>
      </c>
      <c r="D107" s="1" t="s">
        <v>27</v>
      </c>
      <c r="E107" s="1" t="s">
        <v>30</v>
      </c>
      <c r="F107" s="1" t="s">
        <v>41</v>
      </c>
      <c r="G107" s="1" t="s">
        <v>116</v>
      </c>
      <c r="H107">
        <v>1</v>
      </c>
      <c r="I107" s="1" t="s">
        <v>16</v>
      </c>
      <c r="J107">
        <v>791</v>
      </c>
      <c r="K107" s="1" t="s">
        <v>97</v>
      </c>
      <c r="L107" s="1" t="s">
        <v>93</v>
      </c>
      <c r="M107">
        <v>383001</v>
      </c>
      <c r="N107" s="1" t="s">
        <v>19</v>
      </c>
    </row>
    <row r="108" spans="1:14" x14ac:dyDescent="0.3">
      <c r="A108">
        <v>26797102</v>
      </c>
      <c r="B108" s="1" t="s">
        <v>23</v>
      </c>
      <c r="C108" s="1" t="s">
        <v>26</v>
      </c>
      <c r="D108" s="1" t="s">
        <v>27</v>
      </c>
      <c r="E108" s="1" t="s">
        <v>21</v>
      </c>
      <c r="F108" s="1" t="s">
        <v>14</v>
      </c>
      <c r="G108" s="1" t="s">
        <v>23</v>
      </c>
      <c r="H108">
        <v>1</v>
      </c>
      <c r="I108" s="1" t="s">
        <v>16</v>
      </c>
      <c r="J108">
        <v>311</v>
      </c>
      <c r="K108" s="1" t="s">
        <v>79</v>
      </c>
      <c r="L108" s="1" t="s">
        <v>80</v>
      </c>
      <c r="M108">
        <v>700057</v>
      </c>
      <c r="N108" s="1" t="s">
        <v>19</v>
      </c>
    </row>
    <row r="109" spans="1:14" x14ac:dyDescent="0.3">
      <c r="A109">
        <v>43461908</v>
      </c>
      <c r="B109" s="1" t="s">
        <v>23</v>
      </c>
      <c r="C109" s="1" t="s">
        <v>26</v>
      </c>
      <c r="D109" s="1" t="s">
        <v>27</v>
      </c>
      <c r="E109" s="1" t="s">
        <v>33</v>
      </c>
      <c r="F109" s="1" t="s">
        <v>28</v>
      </c>
      <c r="G109" s="1" t="s">
        <v>23</v>
      </c>
      <c r="H109">
        <v>1</v>
      </c>
      <c r="I109" s="1" t="s">
        <v>16</v>
      </c>
      <c r="J109">
        <v>387</v>
      </c>
      <c r="K109" s="1" t="s">
        <v>17</v>
      </c>
      <c r="L109" s="1" t="s">
        <v>18</v>
      </c>
      <c r="M109">
        <v>400101</v>
      </c>
      <c r="N109" s="1" t="s">
        <v>19</v>
      </c>
    </row>
    <row r="110" spans="1:14" x14ac:dyDescent="0.3">
      <c r="A110">
        <v>75364338</v>
      </c>
      <c r="B110" s="1" t="s">
        <v>23</v>
      </c>
      <c r="C110" s="1" t="s">
        <v>26</v>
      </c>
      <c r="D110" s="1" t="s">
        <v>27</v>
      </c>
      <c r="E110" s="1" t="s">
        <v>21</v>
      </c>
      <c r="F110" s="1" t="s">
        <v>14</v>
      </c>
      <c r="G110" s="1" t="s">
        <v>23</v>
      </c>
      <c r="H110">
        <v>1</v>
      </c>
      <c r="I110" s="1" t="s">
        <v>16</v>
      </c>
      <c r="J110">
        <v>348</v>
      </c>
      <c r="K110" s="1" t="s">
        <v>39</v>
      </c>
      <c r="L110" s="1" t="s">
        <v>40</v>
      </c>
      <c r="M110">
        <v>500053</v>
      </c>
      <c r="N110" s="1" t="s">
        <v>19</v>
      </c>
    </row>
    <row r="111" spans="1:14" x14ac:dyDescent="0.3">
      <c r="A111">
        <v>68137943</v>
      </c>
      <c r="B111" s="1" t="s">
        <v>20</v>
      </c>
      <c r="C111" s="1" t="s">
        <v>11</v>
      </c>
      <c r="D111" s="1" t="s">
        <v>12</v>
      </c>
      <c r="E111" s="1" t="s">
        <v>13</v>
      </c>
      <c r="F111" s="1" t="s">
        <v>14</v>
      </c>
      <c r="G111" s="1" t="s">
        <v>23</v>
      </c>
      <c r="H111">
        <v>1</v>
      </c>
      <c r="I111" s="1" t="s">
        <v>16</v>
      </c>
      <c r="J111">
        <v>597</v>
      </c>
      <c r="K111" s="1" t="s">
        <v>117</v>
      </c>
      <c r="L111" s="1" t="s">
        <v>59</v>
      </c>
      <c r="M111">
        <v>781014</v>
      </c>
      <c r="N111" s="1" t="s">
        <v>19</v>
      </c>
    </row>
    <row r="112" spans="1:14" x14ac:dyDescent="0.3">
      <c r="A112">
        <v>8296320</v>
      </c>
      <c r="B112" s="1" t="s">
        <v>23</v>
      </c>
      <c r="C112" s="1" t="s">
        <v>26</v>
      </c>
      <c r="D112" s="1" t="s">
        <v>27</v>
      </c>
      <c r="E112" s="1" t="s">
        <v>13</v>
      </c>
      <c r="F112" s="1" t="s">
        <v>22</v>
      </c>
      <c r="G112" s="1" t="s">
        <v>23</v>
      </c>
      <c r="H112">
        <v>1</v>
      </c>
      <c r="I112" s="1" t="s">
        <v>16</v>
      </c>
      <c r="J112">
        <v>635</v>
      </c>
      <c r="K112" s="1" t="s">
        <v>118</v>
      </c>
      <c r="L112" s="1" t="s">
        <v>25</v>
      </c>
      <c r="M112">
        <v>563101</v>
      </c>
      <c r="N112" s="1" t="s">
        <v>19</v>
      </c>
    </row>
    <row r="113" spans="1:14" x14ac:dyDescent="0.3">
      <c r="A113">
        <v>11393151</v>
      </c>
      <c r="B113" s="1" t="s">
        <v>23</v>
      </c>
      <c r="C113" s="1" t="s">
        <v>26</v>
      </c>
      <c r="D113" s="1" t="s">
        <v>27</v>
      </c>
      <c r="E113" s="1" t="s">
        <v>13</v>
      </c>
      <c r="F113" s="1" t="s">
        <v>43</v>
      </c>
      <c r="G113" s="1" t="s">
        <v>23</v>
      </c>
      <c r="H113">
        <v>1</v>
      </c>
      <c r="I113" s="1" t="s">
        <v>16</v>
      </c>
      <c r="J113">
        <v>597</v>
      </c>
      <c r="K113" s="1" t="s">
        <v>119</v>
      </c>
      <c r="L113" s="1" t="s">
        <v>120</v>
      </c>
      <c r="M113">
        <v>147001</v>
      </c>
      <c r="N113" s="1" t="s">
        <v>19</v>
      </c>
    </row>
    <row r="114" spans="1:14" x14ac:dyDescent="0.3">
      <c r="A114">
        <v>42348328</v>
      </c>
      <c r="B114" s="1" t="s">
        <v>23</v>
      </c>
      <c r="C114" s="1" t="s">
        <v>26</v>
      </c>
      <c r="D114" s="1" t="s">
        <v>27</v>
      </c>
      <c r="E114" s="1" t="s">
        <v>13</v>
      </c>
      <c r="F114" s="1" t="s">
        <v>14</v>
      </c>
      <c r="G114" s="1" t="s">
        <v>23</v>
      </c>
      <c r="H114">
        <v>1</v>
      </c>
      <c r="I114" s="1" t="s">
        <v>16</v>
      </c>
      <c r="J114">
        <v>790</v>
      </c>
      <c r="K114" s="1" t="s">
        <v>121</v>
      </c>
      <c r="L114" s="1" t="s">
        <v>78</v>
      </c>
      <c r="M114">
        <v>486001</v>
      </c>
      <c r="N114" s="1" t="s">
        <v>19</v>
      </c>
    </row>
    <row r="115" spans="1:14" x14ac:dyDescent="0.3">
      <c r="A115">
        <v>92085136</v>
      </c>
      <c r="B115" s="1" t="s">
        <v>23</v>
      </c>
      <c r="C115" s="1" t="s">
        <v>26</v>
      </c>
      <c r="D115" s="1" t="s">
        <v>27</v>
      </c>
      <c r="E115" s="1" t="s">
        <v>21</v>
      </c>
      <c r="F115" s="1" t="s">
        <v>41</v>
      </c>
      <c r="G115" s="1" t="s">
        <v>23</v>
      </c>
      <c r="H115">
        <v>1</v>
      </c>
      <c r="I115" s="1" t="s">
        <v>16</v>
      </c>
      <c r="J115">
        <v>375</v>
      </c>
      <c r="K115" s="1" t="s">
        <v>122</v>
      </c>
      <c r="L115" s="1" t="s">
        <v>59</v>
      </c>
      <c r="M115">
        <v>783380</v>
      </c>
      <c r="N115" s="1" t="s">
        <v>19</v>
      </c>
    </row>
    <row r="116" spans="1:14" x14ac:dyDescent="0.3">
      <c r="A116">
        <v>62470747</v>
      </c>
      <c r="B116" s="1" t="s">
        <v>23</v>
      </c>
      <c r="C116" s="1" t="s">
        <v>26</v>
      </c>
      <c r="D116" s="1" t="s">
        <v>27</v>
      </c>
      <c r="E116" s="1" t="s">
        <v>13</v>
      </c>
      <c r="F116" s="1" t="s">
        <v>43</v>
      </c>
      <c r="G116" s="1" t="s">
        <v>23</v>
      </c>
      <c r="H116">
        <v>1</v>
      </c>
      <c r="I116" s="1" t="s">
        <v>16</v>
      </c>
      <c r="J116">
        <v>1115</v>
      </c>
      <c r="K116" s="1" t="s">
        <v>39</v>
      </c>
      <c r="L116" s="1" t="s">
        <v>40</v>
      </c>
      <c r="M116">
        <v>500087</v>
      </c>
      <c r="N116" s="1" t="s">
        <v>19</v>
      </c>
    </row>
    <row r="117" spans="1:14" x14ac:dyDescent="0.3">
      <c r="A117">
        <v>20260360</v>
      </c>
      <c r="B117" s="1" t="s">
        <v>20</v>
      </c>
      <c r="C117" s="1" t="s">
        <v>11</v>
      </c>
      <c r="D117" s="1" t="s">
        <v>12</v>
      </c>
      <c r="E117" s="1" t="s">
        <v>21</v>
      </c>
      <c r="F117" s="1" t="s">
        <v>22</v>
      </c>
      <c r="G117" s="1" t="s">
        <v>23</v>
      </c>
      <c r="H117">
        <v>1</v>
      </c>
      <c r="I117" s="1" t="s">
        <v>16</v>
      </c>
      <c r="J117">
        <v>579</v>
      </c>
      <c r="K117" s="1" t="s">
        <v>24</v>
      </c>
      <c r="L117" s="1" t="s">
        <v>25</v>
      </c>
      <c r="M117">
        <v>560055</v>
      </c>
      <c r="N117" s="1" t="s">
        <v>19</v>
      </c>
    </row>
    <row r="118" spans="1:14" x14ac:dyDescent="0.3">
      <c r="A118">
        <v>65973150</v>
      </c>
      <c r="B118" s="1" t="s">
        <v>23</v>
      </c>
      <c r="C118" s="1" t="s">
        <v>26</v>
      </c>
      <c r="D118" s="1" t="s">
        <v>27</v>
      </c>
      <c r="E118" s="1" t="s">
        <v>13</v>
      </c>
      <c r="F118" s="1" t="s">
        <v>41</v>
      </c>
      <c r="G118" s="1" t="s">
        <v>23</v>
      </c>
      <c r="H118">
        <v>1</v>
      </c>
      <c r="I118" s="1" t="s">
        <v>16</v>
      </c>
      <c r="J118">
        <v>788</v>
      </c>
      <c r="K118" s="1" t="s">
        <v>123</v>
      </c>
      <c r="L118" s="1" t="s">
        <v>35</v>
      </c>
      <c r="M118">
        <v>603002</v>
      </c>
      <c r="N118" s="1" t="s">
        <v>19</v>
      </c>
    </row>
    <row r="119" spans="1:14" x14ac:dyDescent="0.3">
      <c r="A119">
        <v>97508346</v>
      </c>
      <c r="B119" s="1" t="s">
        <v>23</v>
      </c>
      <c r="C119" s="1" t="s">
        <v>26</v>
      </c>
      <c r="D119" s="1" t="s">
        <v>27</v>
      </c>
      <c r="E119" s="1" t="s">
        <v>13</v>
      </c>
      <c r="F119" s="1" t="s">
        <v>56</v>
      </c>
      <c r="G119" s="1" t="s">
        <v>23</v>
      </c>
      <c r="H119">
        <v>1</v>
      </c>
      <c r="I119" s="1" t="s">
        <v>16</v>
      </c>
      <c r="J119">
        <v>597</v>
      </c>
      <c r="K119" s="1" t="s">
        <v>124</v>
      </c>
      <c r="L119" s="1" t="s">
        <v>35</v>
      </c>
      <c r="M119">
        <v>621212</v>
      </c>
      <c r="N119" s="1" t="s">
        <v>19</v>
      </c>
    </row>
    <row r="120" spans="1:14" x14ac:dyDescent="0.3">
      <c r="A120">
        <v>64313118</v>
      </c>
      <c r="B120" s="1" t="s">
        <v>23</v>
      </c>
      <c r="C120" s="1" t="s">
        <v>26</v>
      </c>
      <c r="D120" s="1" t="s">
        <v>27</v>
      </c>
      <c r="E120" s="1" t="s">
        <v>21</v>
      </c>
      <c r="F120" s="1" t="s">
        <v>56</v>
      </c>
      <c r="G120" s="1" t="s">
        <v>23</v>
      </c>
      <c r="H120">
        <v>1</v>
      </c>
      <c r="I120" s="1" t="s">
        <v>16</v>
      </c>
      <c r="J120">
        <v>517</v>
      </c>
      <c r="K120" s="1" t="s">
        <v>62</v>
      </c>
      <c r="L120" s="1" t="s">
        <v>125</v>
      </c>
      <c r="M120">
        <v>174001</v>
      </c>
      <c r="N120" s="1" t="s">
        <v>19</v>
      </c>
    </row>
    <row r="121" spans="1:14" x14ac:dyDescent="0.3">
      <c r="A121">
        <v>6412346</v>
      </c>
      <c r="B121" s="1" t="s">
        <v>23</v>
      </c>
      <c r="C121" s="1" t="s">
        <v>26</v>
      </c>
      <c r="D121" s="1" t="s">
        <v>27</v>
      </c>
      <c r="E121" s="1" t="s">
        <v>21</v>
      </c>
      <c r="F121" s="1" t="s">
        <v>41</v>
      </c>
      <c r="G121" s="1" t="s">
        <v>23</v>
      </c>
      <c r="H121">
        <v>1</v>
      </c>
      <c r="I121" s="1" t="s">
        <v>16</v>
      </c>
      <c r="J121">
        <v>442</v>
      </c>
      <c r="K121" s="1" t="s">
        <v>34</v>
      </c>
      <c r="L121" s="1" t="s">
        <v>35</v>
      </c>
      <c r="M121">
        <v>600099</v>
      </c>
      <c r="N121" s="1" t="s">
        <v>19</v>
      </c>
    </row>
    <row r="122" spans="1:14" x14ac:dyDescent="0.3">
      <c r="A122">
        <v>25431551</v>
      </c>
      <c r="B122" s="1" t="s">
        <v>23</v>
      </c>
      <c r="C122" s="1" t="s">
        <v>26</v>
      </c>
      <c r="D122" s="1" t="s">
        <v>27</v>
      </c>
      <c r="E122" s="1" t="s">
        <v>21</v>
      </c>
      <c r="F122" s="1" t="s">
        <v>22</v>
      </c>
      <c r="G122" s="1" t="s">
        <v>23</v>
      </c>
      <c r="H122">
        <v>1</v>
      </c>
      <c r="I122" s="1" t="s">
        <v>16</v>
      </c>
      <c r="J122">
        <v>399</v>
      </c>
      <c r="K122" s="1" t="s">
        <v>126</v>
      </c>
      <c r="L122" s="1" t="s">
        <v>37</v>
      </c>
      <c r="M122">
        <v>221010</v>
      </c>
      <c r="N122" s="1" t="s">
        <v>19</v>
      </c>
    </row>
    <row r="123" spans="1:14" x14ac:dyDescent="0.3">
      <c r="A123">
        <v>42105912</v>
      </c>
      <c r="B123" s="1" t="s">
        <v>23</v>
      </c>
      <c r="C123" s="1" t="s">
        <v>26</v>
      </c>
      <c r="D123" s="1" t="s">
        <v>27</v>
      </c>
      <c r="E123" s="1" t="s">
        <v>21</v>
      </c>
      <c r="F123" s="1" t="s">
        <v>41</v>
      </c>
      <c r="G123" s="1" t="s">
        <v>23</v>
      </c>
      <c r="H123">
        <v>1</v>
      </c>
      <c r="I123" s="1" t="s">
        <v>16</v>
      </c>
      <c r="J123">
        <v>518</v>
      </c>
      <c r="K123" s="1" t="s">
        <v>24</v>
      </c>
      <c r="L123" s="1" t="s">
        <v>25</v>
      </c>
      <c r="M123">
        <v>560036</v>
      </c>
      <c r="N123" s="1" t="s">
        <v>19</v>
      </c>
    </row>
    <row r="124" spans="1:14" x14ac:dyDescent="0.3">
      <c r="A124">
        <v>4437140</v>
      </c>
      <c r="B124" s="1" t="s">
        <v>23</v>
      </c>
      <c r="C124" s="1" t="s">
        <v>26</v>
      </c>
      <c r="D124" s="1" t="s">
        <v>27</v>
      </c>
      <c r="E124" s="1" t="s">
        <v>21</v>
      </c>
      <c r="F124" s="1" t="s">
        <v>56</v>
      </c>
      <c r="G124" s="1" t="s">
        <v>23</v>
      </c>
      <c r="H124">
        <v>1</v>
      </c>
      <c r="I124" s="1" t="s">
        <v>16</v>
      </c>
      <c r="J124">
        <v>348</v>
      </c>
      <c r="K124" s="1" t="s">
        <v>127</v>
      </c>
      <c r="L124" s="1" t="s">
        <v>35</v>
      </c>
      <c r="M124">
        <v>641035</v>
      </c>
      <c r="N124" s="1" t="s">
        <v>19</v>
      </c>
    </row>
    <row r="125" spans="1:14" x14ac:dyDescent="0.3">
      <c r="A125">
        <v>55202714</v>
      </c>
      <c r="B125" s="1" t="s">
        <v>20</v>
      </c>
      <c r="C125" s="1" t="s">
        <v>11</v>
      </c>
      <c r="D125" s="1" t="s">
        <v>12</v>
      </c>
      <c r="E125" s="1" t="s">
        <v>13</v>
      </c>
      <c r="F125" s="1" t="s">
        <v>56</v>
      </c>
      <c r="G125" s="1" t="s">
        <v>23</v>
      </c>
      <c r="H125">
        <v>1</v>
      </c>
      <c r="I125" s="1" t="s">
        <v>16</v>
      </c>
      <c r="J125">
        <v>788</v>
      </c>
      <c r="K125" s="1" t="s">
        <v>128</v>
      </c>
      <c r="L125" s="1" t="s">
        <v>63</v>
      </c>
      <c r="M125">
        <v>497449</v>
      </c>
      <c r="N125" s="1" t="s">
        <v>19</v>
      </c>
    </row>
    <row r="126" spans="1:14" x14ac:dyDescent="0.3">
      <c r="A126">
        <v>750756</v>
      </c>
      <c r="B126" s="1" t="s">
        <v>23</v>
      </c>
      <c r="C126" s="1" t="s">
        <v>26</v>
      </c>
      <c r="D126" s="1" t="s">
        <v>27</v>
      </c>
      <c r="E126" s="1" t="s">
        <v>13</v>
      </c>
      <c r="F126" s="1" t="s">
        <v>56</v>
      </c>
      <c r="G126" s="1" t="s">
        <v>23</v>
      </c>
      <c r="H126">
        <v>1</v>
      </c>
      <c r="I126" s="1" t="s">
        <v>16</v>
      </c>
      <c r="J126">
        <v>597</v>
      </c>
      <c r="K126" s="1" t="s">
        <v>129</v>
      </c>
      <c r="L126" s="1" t="s">
        <v>18</v>
      </c>
      <c r="M126">
        <v>421306</v>
      </c>
      <c r="N126" s="1" t="s">
        <v>19</v>
      </c>
    </row>
    <row r="127" spans="1:14" x14ac:dyDescent="0.3">
      <c r="A127">
        <v>11880317</v>
      </c>
      <c r="B127" s="1" t="s">
        <v>23</v>
      </c>
      <c r="C127" s="1" t="s">
        <v>26</v>
      </c>
      <c r="D127" s="1" t="s">
        <v>27</v>
      </c>
      <c r="E127" s="1" t="s">
        <v>21</v>
      </c>
      <c r="F127" s="1" t="s">
        <v>14</v>
      </c>
      <c r="G127" s="1" t="s">
        <v>23</v>
      </c>
      <c r="H127">
        <v>1</v>
      </c>
      <c r="I127" s="1" t="s">
        <v>16</v>
      </c>
      <c r="J127">
        <v>696</v>
      </c>
      <c r="K127" s="1" t="s">
        <v>51</v>
      </c>
      <c r="L127" s="1" t="s">
        <v>52</v>
      </c>
      <c r="M127">
        <v>110016</v>
      </c>
      <c r="N127" s="1" t="s">
        <v>19</v>
      </c>
    </row>
    <row r="128" spans="1:14" x14ac:dyDescent="0.3">
      <c r="A128">
        <v>20941949</v>
      </c>
      <c r="B128" s="1" t="s">
        <v>23</v>
      </c>
      <c r="C128" s="1" t="s">
        <v>26</v>
      </c>
      <c r="D128" s="1" t="s">
        <v>27</v>
      </c>
      <c r="E128" s="1" t="s">
        <v>21</v>
      </c>
      <c r="F128" s="1" t="s">
        <v>28</v>
      </c>
      <c r="G128" s="1" t="s">
        <v>23</v>
      </c>
      <c r="H128">
        <v>1</v>
      </c>
      <c r="I128" s="1" t="s">
        <v>16</v>
      </c>
      <c r="J128">
        <v>363</v>
      </c>
      <c r="K128" s="1" t="s">
        <v>39</v>
      </c>
      <c r="L128" s="1" t="s">
        <v>40</v>
      </c>
      <c r="M128">
        <v>502032</v>
      </c>
      <c r="N128" s="1" t="s">
        <v>19</v>
      </c>
    </row>
    <row r="129" spans="1:14" x14ac:dyDescent="0.3">
      <c r="A129">
        <v>77761132</v>
      </c>
      <c r="B129" s="1" t="s">
        <v>23</v>
      </c>
      <c r="C129" s="1" t="s">
        <v>26</v>
      </c>
      <c r="D129" s="1" t="s">
        <v>12</v>
      </c>
      <c r="E129" s="1" t="s">
        <v>21</v>
      </c>
      <c r="F129" s="1" t="s">
        <v>28</v>
      </c>
      <c r="G129" s="1" t="s">
        <v>23</v>
      </c>
      <c r="H129">
        <v>1</v>
      </c>
      <c r="I129" s="1" t="s">
        <v>16</v>
      </c>
      <c r="J129">
        <v>299</v>
      </c>
      <c r="K129" s="1" t="s">
        <v>39</v>
      </c>
      <c r="L129" s="1" t="s">
        <v>40</v>
      </c>
      <c r="M129">
        <v>502032</v>
      </c>
      <c r="N129" s="1" t="s">
        <v>19</v>
      </c>
    </row>
    <row r="130" spans="1:14" x14ac:dyDescent="0.3">
      <c r="A130">
        <v>39221106</v>
      </c>
      <c r="B130" s="1" t="s">
        <v>23</v>
      </c>
      <c r="C130" s="1" t="s">
        <v>26</v>
      </c>
      <c r="D130" s="1" t="s">
        <v>27</v>
      </c>
      <c r="E130" s="1" t="s">
        <v>30</v>
      </c>
      <c r="F130" s="1" t="s">
        <v>14</v>
      </c>
      <c r="G130" s="1" t="s">
        <v>23</v>
      </c>
      <c r="H130">
        <v>1</v>
      </c>
      <c r="I130" s="1" t="s">
        <v>16</v>
      </c>
      <c r="J130">
        <v>690</v>
      </c>
      <c r="K130" s="1" t="s">
        <v>66</v>
      </c>
      <c r="L130" s="1" t="s">
        <v>59</v>
      </c>
      <c r="M130">
        <v>781026</v>
      </c>
      <c r="N130" s="1" t="s">
        <v>19</v>
      </c>
    </row>
    <row r="131" spans="1:14" x14ac:dyDescent="0.3">
      <c r="A131">
        <v>54577925</v>
      </c>
      <c r="B131" s="1" t="s">
        <v>23</v>
      </c>
      <c r="C131" s="1" t="s">
        <v>26</v>
      </c>
      <c r="D131" s="1" t="s">
        <v>27</v>
      </c>
      <c r="E131" s="1" t="s">
        <v>33</v>
      </c>
      <c r="F131" s="1" t="s">
        <v>43</v>
      </c>
      <c r="G131" s="1" t="s">
        <v>23</v>
      </c>
      <c r="H131">
        <v>1</v>
      </c>
      <c r="I131" s="1" t="s">
        <v>16</v>
      </c>
      <c r="J131">
        <v>574</v>
      </c>
      <c r="K131" s="1" t="s">
        <v>130</v>
      </c>
      <c r="L131" s="1" t="s">
        <v>25</v>
      </c>
      <c r="M131">
        <v>570008</v>
      </c>
      <c r="N131" s="1" t="s">
        <v>19</v>
      </c>
    </row>
    <row r="132" spans="1:14" x14ac:dyDescent="0.3">
      <c r="A132">
        <v>22560336</v>
      </c>
      <c r="B132" s="1" t="s">
        <v>20</v>
      </c>
      <c r="C132" s="1" t="s">
        <v>11</v>
      </c>
      <c r="D132" s="1" t="s">
        <v>12</v>
      </c>
      <c r="E132" s="1" t="s">
        <v>13</v>
      </c>
      <c r="F132" s="1" t="s">
        <v>56</v>
      </c>
      <c r="G132" s="1" t="s">
        <v>23</v>
      </c>
      <c r="H132">
        <v>1</v>
      </c>
      <c r="I132" s="1" t="s">
        <v>16</v>
      </c>
      <c r="J132">
        <v>1399</v>
      </c>
      <c r="K132" s="1" t="s">
        <v>131</v>
      </c>
      <c r="L132" s="1" t="s">
        <v>37</v>
      </c>
      <c r="M132">
        <v>225001</v>
      </c>
      <c r="N132" s="1" t="s">
        <v>19</v>
      </c>
    </row>
    <row r="133" spans="1:14" x14ac:dyDescent="0.3">
      <c r="A133">
        <v>91353916</v>
      </c>
      <c r="B133" s="1" t="s">
        <v>20</v>
      </c>
      <c r="C133" s="1" t="s">
        <v>11</v>
      </c>
      <c r="D133" s="1" t="s">
        <v>12</v>
      </c>
      <c r="E133" s="1" t="s">
        <v>13</v>
      </c>
      <c r="F133" s="1" t="s">
        <v>14</v>
      </c>
      <c r="G133" s="1" t="s">
        <v>23</v>
      </c>
      <c r="H133">
        <v>1</v>
      </c>
      <c r="I133" s="1" t="s">
        <v>16</v>
      </c>
      <c r="J133">
        <v>999</v>
      </c>
      <c r="K133" s="1" t="s">
        <v>132</v>
      </c>
      <c r="L133" s="1" t="s">
        <v>37</v>
      </c>
      <c r="M133">
        <v>275301</v>
      </c>
      <c r="N133" s="1" t="s">
        <v>19</v>
      </c>
    </row>
    <row r="134" spans="1:14" x14ac:dyDescent="0.3">
      <c r="A134">
        <v>45688327</v>
      </c>
      <c r="B134" s="1" t="s">
        <v>23</v>
      </c>
      <c r="C134" s="1" t="s">
        <v>26</v>
      </c>
      <c r="D134" s="1" t="s">
        <v>27</v>
      </c>
      <c r="E134" s="1" t="s">
        <v>13</v>
      </c>
      <c r="F134" s="1" t="s">
        <v>28</v>
      </c>
      <c r="G134" s="1" t="s">
        <v>23</v>
      </c>
      <c r="H134">
        <v>1</v>
      </c>
      <c r="I134" s="1" t="s">
        <v>16</v>
      </c>
      <c r="J134">
        <v>999</v>
      </c>
      <c r="K134" s="1" t="s">
        <v>133</v>
      </c>
      <c r="L134" s="1" t="s">
        <v>48</v>
      </c>
      <c r="M134">
        <v>520010</v>
      </c>
      <c r="N134" s="1" t="s">
        <v>19</v>
      </c>
    </row>
    <row r="135" spans="1:14" x14ac:dyDescent="0.3">
      <c r="A135">
        <v>34261958</v>
      </c>
      <c r="B135" s="1" t="s">
        <v>23</v>
      </c>
      <c r="C135" s="1" t="s">
        <v>26</v>
      </c>
      <c r="D135" s="1" t="s">
        <v>27</v>
      </c>
      <c r="E135" s="1" t="s">
        <v>21</v>
      </c>
      <c r="F135" s="1" t="s">
        <v>28</v>
      </c>
      <c r="G135" s="1" t="s">
        <v>23</v>
      </c>
      <c r="H135">
        <v>1</v>
      </c>
      <c r="I135" s="1" t="s">
        <v>16</v>
      </c>
      <c r="J135">
        <v>487</v>
      </c>
      <c r="K135" s="1" t="s">
        <v>134</v>
      </c>
      <c r="L135" s="1" t="s">
        <v>63</v>
      </c>
      <c r="M135">
        <v>493331</v>
      </c>
      <c r="N135" s="1" t="s">
        <v>19</v>
      </c>
    </row>
    <row r="136" spans="1:14" x14ac:dyDescent="0.3">
      <c r="A136">
        <v>23876305</v>
      </c>
      <c r="B136" s="1" t="s">
        <v>20</v>
      </c>
      <c r="C136" s="1" t="s">
        <v>11</v>
      </c>
      <c r="D136" s="1" t="s">
        <v>12</v>
      </c>
      <c r="E136" s="1" t="s">
        <v>21</v>
      </c>
      <c r="F136" s="1" t="s">
        <v>22</v>
      </c>
      <c r="G136" s="1" t="s">
        <v>23</v>
      </c>
      <c r="H136">
        <v>1</v>
      </c>
      <c r="I136" s="1" t="s">
        <v>16</v>
      </c>
      <c r="J136">
        <v>376</v>
      </c>
      <c r="K136" s="1" t="s">
        <v>55</v>
      </c>
      <c r="L136" s="1" t="s">
        <v>35</v>
      </c>
      <c r="M136">
        <v>620018</v>
      </c>
      <c r="N136" s="1" t="s">
        <v>19</v>
      </c>
    </row>
    <row r="137" spans="1:14" x14ac:dyDescent="0.3">
      <c r="A137">
        <v>49136347</v>
      </c>
      <c r="B137" s="1" t="s">
        <v>23</v>
      </c>
      <c r="C137" s="1" t="s">
        <v>26</v>
      </c>
      <c r="D137" s="1" t="s">
        <v>27</v>
      </c>
      <c r="E137" s="1" t="s">
        <v>13</v>
      </c>
      <c r="F137" s="1" t="s">
        <v>31</v>
      </c>
      <c r="G137" s="1" t="s">
        <v>23</v>
      </c>
      <c r="H137">
        <v>1</v>
      </c>
      <c r="I137" s="1" t="s">
        <v>16</v>
      </c>
      <c r="J137">
        <v>1115</v>
      </c>
      <c r="K137" s="1" t="s">
        <v>135</v>
      </c>
      <c r="L137" s="1" t="s">
        <v>100</v>
      </c>
      <c r="M137">
        <v>248142</v>
      </c>
      <c r="N137" s="1" t="s">
        <v>19</v>
      </c>
    </row>
    <row r="138" spans="1:14" x14ac:dyDescent="0.3">
      <c r="A138">
        <v>91733961</v>
      </c>
      <c r="B138" s="1" t="s">
        <v>23</v>
      </c>
      <c r="C138" s="1" t="s">
        <v>26</v>
      </c>
      <c r="D138" s="1" t="s">
        <v>27</v>
      </c>
      <c r="E138" s="1" t="s">
        <v>13</v>
      </c>
      <c r="F138" s="1" t="s">
        <v>41</v>
      </c>
      <c r="G138" s="1" t="s">
        <v>23</v>
      </c>
      <c r="H138">
        <v>1</v>
      </c>
      <c r="I138" s="1" t="s">
        <v>16</v>
      </c>
      <c r="J138">
        <v>517</v>
      </c>
      <c r="K138" s="1" t="s">
        <v>24</v>
      </c>
      <c r="L138" s="1" t="s">
        <v>25</v>
      </c>
      <c r="M138">
        <v>560048</v>
      </c>
      <c r="N138" s="1" t="s">
        <v>19</v>
      </c>
    </row>
    <row r="139" spans="1:14" x14ac:dyDescent="0.3">
      <c r="A139">
        <v>50134713</v>
      </c>
      <c r="B139" s="1" t="s">
        <v>23</v>
      </c>
      <c r="C139" s="1" t="s">
        <v>26</v>
      </c>
      <c r="D139" s="1" t="s">
        <v>27</v>
      </c>
      <c r="E139" s="1" t="s">
        <v>13</v>
      </c>
      <c r="F139" s="1" t="s">
        <v>14</v>
      </c>
      <c r="G139" s="1" t="s">
        <v>23</v>
      </c>
      <c r="H139">
        <v>1</v>
      </c>
      <c r="I139" s="1" t="s">
        <v>16</v>
      </c>
      <c r="J139">
        <v>1126</v>
      </c>
      <c r="K139" s="1" t="s">
        <v>95</v>
      </c>
      <c r="L139" s="1" t="s">
        <v>25</v>
      </c>
      <c r="M139">
        <v>560001</v>
      </c>
      <c r="N139" s="1" t="s">
        <v>19</v>
      </c>
    </row>
    <row r="140" spans="1:14" x14ac:dyDescent="0.3">
      <c r="A140">
        <v>36505905</v>
      </c>
      <c r="B140" s="1" t="s">
        <v>23</v>
      </c>
      <c r="C140" s="1" t="s">
        <v>26</v>
      </c>
      <c r="D140" s="1" t="s">
        <v>27</v>
      </c>
      <c r="E140" s="1" t="s">
        <v>30</v>
      </c>
      <c r="F140" s="1" t="s">
        <v>31</v>
      </c>
      <c r="G140" s="1" t="s">
        <v>23</v>
      </c>
      <c r="H140">
        <v>1</v>
      </c>
      <c r="I140" s="1" t="s">
        <v>16</v>
      </c>
      <c r="J140">
        <v>725</v>
      </c>
      <c r="K140" s="1" t="s">
        <v>136</v>
      </c>
      <c r="L140" s="1" t="s">
        <v>73</v>
      </c>
      <c r="M140">
        <v>682021</v>
      </c>
      <c r="N140" s="1" t="s">
        <v>19</v>
      </c>
    </row>
    <row r="141" spans="1:14" x14ac:dyDescent="0.3">
      <c r="A141">
        <v>19623566</v>
      </c>
      <c r="B141" s="1" t="s">
        <v>23</v>
      </c>
      <c r="C141" s="1" t="s">
        <v>26</v>
      </c>
      <c r="D141" s="1" t="s">
        <v>27</v>
      </c>
      <c r="E141" s="1" t="s">
        <v>30</v>
      </c>
      <c r="F141" s="1" t="s">
        <v>41</v>
      </c>
      <c r="G141" s="1" t="s">
        <v>23</v>
      </c>
      <c r="H141">
        <v>1</v>
      </c>
      <c r="I141" s="1" t="s">
        <v>16</v>
      </c>
      <c r="J141">
        <v>721</v>
      </c>
      <c r="K141" s="1" t="s">
        <v>137</v>
      </c>
      <c r="L141" s="1" t="s">
        <v>71</v>
      </c>
      <c r="M141">
        <v>762010</v>
      </c>
      <c r="N141" s="1" t="s">
        <v>19</v>
      </c>
    </row>
    <row r="142" spans="1:14" x14ac:dyDescent="0.3">
      <c r="A142">
        <v>75366767</v>
      </c>
      <c r="B142" s="1" t="s">
        <v>23</v>
      </c>
      <c r="C142" s="1" t="s">
        <v>26</v>
      </c>
      <c r="D142" s="1" t="s">
        <v>27</v>
      </c>
      <c r="E142" s="1" t="s">
        <v>13</v>
      </c>
      <c r="F142" s="1" t="s">
        <v>43</v>
      </c>
      <c r="G142" s="1" t="s">
        <v>23</v>
      </c>
      <c r="H142">
        <v>1</v>
      </c>
      <c r="I142" s="1" t="s">
        <v>16</v>
      </c>
      <c r="J142">
        <v>666</v>
      </c>
      <c r="K142" s="1" t="s">
        <v>138</v>
      </c>
      <c r="L142" s="1" t="s">
        <v>106</v>
      </c>
      <c r="M142">
        <v>803115</v>
      </c>
      <c r="N142" s="1" t="s">
        <v>19</v>
      </c>
    </row>
    <row r="143" spans="1:14" x14ac:dyDescent="0.3">
      <c r="A143">
        <v>89343503</v>
      </c>
      <c r="B143" s="1" t="s">
        <v>23</v>
      </c>
      <c r="C143" s="1" t="s">
        <v>26</v>
      </c>
      <c r="D143" s="1" t="s">
        <v>27</v>
      </c>
      <c r="E143" s="1" t="s">
        <v>13</v>
      </c>
      <c r="F143" s="1" t="s">
        <v>31</v>
      </c>
      <c r="G143" s="1" t="s">
        <v>23</v>
      </c>
      <c r="H143">
        <v>1</v>
      </c>
      <c r="I143" s="1" t="s">
        <v>16</v>
      </c>
      <c r="J143">
        <v>496</v>
      </c>
      <c r="K143" s="1" t="s">
        <v>39</v>
      </c>
      <c r="L143" s="1" t="s">
        <v>40</v>
      </c>
      <c r="M143">
        <v>500075</v>
      </c>
      <c r="N143" s="1" t="s">
        <v>19</v>
      </c>
    </row>
    <row r="144" spans="1:14" x14ac:dyDescent="0.3">
      <c r="A144">
        <v>85979501</v>
      </c>
      <c r="B144" s="1" t="s">
        <v>20</v>
      </c>
      <c r="C144" s="1" t="s">
        <v>11</v>
      </c>
      <c r="D144" s="1" t="s">
        <v>12</v>
      </c>
      <c r="E144" s="1" t="s">
        <v>21</v>
      </c>
      <c r="F144" s="1" t="s">
        <v>28</v>
      </c>
      <c r="G144" s="1" t="s">
        <v>23</v>
      </c>
      <c r="H144">
        <v>1</v>
      </c>
      <c r="I144" s="1" t="s">
        <v>16</v>
      </c>
      <c r="J144">
        <v>353</v>
      </c>
      <c r="K144" s="1" t="s">
        <v>139</v>
      </c>
      <c r="L144" s="1" t="s">
        <v>73</v>
      </c>
      <c r="M144">
        <v>683513</v>
      </c>
      <c r="N144" s="1" t="s">
        <v>19</v>
      </c>
    </row>
    <row r="145" spans="1:14" x14ac:dyDescent="0.3">
      <c r="A145">
        <v>29093116</v>
      </c>
      <c r="B145" s="1" t="s">
        <v>20</v>
      </c>
      <c r="C145" s="1" t="s">
        <v>11</v>
      </c>
      <c r="D145" s="1" t="s">
        <v>12</v>
      </c>
      <c r="E145" s="1" t="s">
        <v>21</v>
      </c>
      <c r="F145" s="1" t="s">
        <v>14</v>
      </c>
      <c r="G145" s="1" t="s">
        <v>23</v>
      </c>
      <c r="H145">
        <v>1</v>
      </c>
      <c r="I145" s="1" t="s">
        <v>16</v>
      </c>
      <c r="J145">
        <v>399</v>
      </c>
      <c r="K145" s="1" t="s">
        <v>140</v>
      </c>
      <c r="L145" s="1" t="s">
        <v>37</v>
      </c>
      <c r="M145">
        <v>272001</v>
      </c>
      <c r="N145" s="1" t="s">
        <v>19</v>
      </c>
    </row>
    <row r="146" spans="1:14" x14ac:dyDescent="0.3">
      <c r="A146">
        <v>63179521</v>
      </c>
      <c r="B146" s="1" t="s">
        <v>23</v>
      </c>
      <c r="C146" s="1" t="s">
        <v>26</v>
      </c>
      <c r="D146" s="1" t="s">
        <v>27</v>
      </c>
      <c r="E146" s="1" t="s">
        <v>21</v>
      </c>
      <c r="F146" s="1" t="s">
        <v>46</v>
      </c>
      <c r="G146" s="1" t="s">
        <v>23</v>
      </c>
      <c r="H146">
        <v>1</v>
      </c>
      <c r="I146" s="1" t="s">
        <v>16</v>
      </c>
      <c r="J146">
        <v>458</v>
      </c>
      <c r="K146" s="1" t="s">
        <v>141</v>
      </c>
      <c r="L146" s="1" t="s">
        <v>35</v>
      </c>
      <c r="M146">
        <v>632513</v>
      </c>
      <c r="N146" s="1" t="s">
        <v>19</v>
      </c>
    </row>
    <row r="147" spans="1:14" x14ac:dyDescent="0.3">
      <c r="A147">
        <v>81845122</v>
      </c>
      <c r="B147" s="1" t="s">
        <v>23</v>
      </c>
      <c r="C147" s="1" t="s">
        <v>26</v>
      </c>
      <c r="D147" s="1" t="s">
        <v>27</v>
      </c>
      <c r="E147" s="1" t="s">
        <v>13</v>
      </c>
      <c r="F147" s="1" t="s">
        <v>22</v>
      </c>
      <c r="G147" s="1" t="s">
        <v>23</v>
      </c>
      <c r="H147">
        <v>1</v>
      </c>
      <c r="I147" s="1" t="s">
        <v>16</v>
      </c>
      <c r="J147">
        <v>1115</v>
      </c>
      <c r="K147" s="1" t="s">
        <v>142</v>
      </c>
      <c r="L147" s="1" t="s">
        <v>87</v>
      </c>
      <c r="M147">
        <v>797112</v>
      </c>
      <c r="N147" s="1" t="s">
        <v>19</v>
      </c>
    </row>
    <row r="148" spans="1:14" x14ac:dyDescent="0.3">
      <c r="A148">
        <v>67749133</v>
      </c>
      <c r="B148" s="1" t="s">
        <v>23</v>
      </c>
      <c r="C148" s="1" t="s">
        <v>26</v>
      </c>
      <c r="D148" s="1" t="s">
        <v>27</v>
      </c>
      <c r="E148" s="1" t="s">
        <v>74</v>
      </c>
      <c r="F148" s="1" t="s">
        <v>75</v>
      </c>
      <c r="G148" s="1" t="s">
        <v>23</v>
      </c>
      <c r="H148">
        <v>1</v>
      </c>
      <c r="I148" s="1" t="s">
        <v>16</v>
      </c>
      <c r="J148">
        <v>845</v>
      </c>
      <c r="K148" s="1" t="s">
        <v>90</v>
      </c>
      <c r="L148" s="1" t="s">
        <v>25</v>
      </c>
      <c r="M148">
        <v>560029</v>
      </c>
      <c r="N148" s="1" t="s">
        <v>19</v>
      </c>
    </row>
    <row r="149" spans="1:14" x14ac:dyDescent="0.3">
      <c r="A149">
        <v>91795554</v>
      </c>
      <c r="B149" s="1" t="s">
        <v>20</v>
      </c>
      <c r="C149" s="1" t="s">
        <v>11</v>
      </c>
      <c r="D149" s="1" t="s">
        <v>12</v>
      </c>
      <c r="E149" s="1" t="s">
        <v>21</v>
      </c>
      <c r="F149" s="1" t="s">
        <v>14</v>
      </c>
      <c r="G149" s="1" t="s">
        <v>23</v>
      </c>
      <c r="H149">
        <v>1</v>
      </c>
      <c r="I149" s="1" t="s">
        <v>16</v>
      </c>
      <c r="J149">
        <v>399</v>
      </c>
      <c r="K149" s="1" t="s">
        <v>143</v>
      </c>
      <c r="L149" s="1" t="s">
        <v>54</v>
      </c>
      <c r="M149">
        <v>123027</v>
      </c>
      <c r="N149" s="1" t="s">
        <v>19</v>
      </c>
    </row>
    <row r="150" spans="1:14" x14ac:dyDescent="0.3">
      <c r="A150">
        <v>73242711</v>
      </c>
      <c r="B150" s="1" t="s">
        <v>23</v>
      </c>
      <c r="C150" s="1" t="s">
        <v>26</v>
      </c>
      <c r="D150" s="1" t="s">
        <v>27</v>
      </c>
      <c r="E150" s="1" t="s">
        <v>21</v>
      </c>
      <c r="F150" s="1" t="s">
        <v>14</v>
      </c>
      <c r="G150" s="1" t="s">
        <v>23</v>
      </c>
      <c r="H150">
        <v>1</v>
      </c>
      <c r="I150" s="1" t="s">
        <v>16</v>
      </c>
      <c r="J150">
        <v>517</v>
      </c>
      <c r="K150" s="1" t="s">
        <v>39</v>
      </c>
      <c r="L150" s="1" t="s">
        <v>40</v>
      </c>
      <c r="M150">
        <v>500086</v>
      </c>
      <c r="N150" s="1" t="s">
        <v>19</v>
      </c>
    </row>
    <row r="151" spans="1:14" x14ac:dyDescent="0.3">
      <c r="A151">
        <v>73360344</v>
      </c>
      <c r="B151" s="1" t="s">
        <v>23</v>
      </c>
      <c r="C151" s="1" t="s">
        <v>26</v>
      </c>
      <c r="D151" s="1" t="s">
        <v>27</v>
      </c>
      <c r="E151" s="1" t="s">
        <v>21</v>
      </c>
      <c r="F151" s="1" t="s">
        <v>22</v>
      </c>
      <c r="G151" s="1" t="s">
        <v>23</v>
      </c>
      <c r="H151">
        <v>1</v>
      </c>
      <c r="I151" s="1" t="s">
        <v>16</v>
      </c>
      <c r="J151">
        <v>599</v>
      </c>
      <c r="K151" s="1" t="s">
        <v>76</v>
      </c>
      <c r="L151" s="1" t="s">
        <v>37</v>
      </c>
      <c r="M151">
        <v>201306</v>
      </c>
      <c r="N151" s="1" t="s">
        <v>19</v>
      </c>
    </row>
    <row r="152" spans="1:14" x14ac:dyDescent="0.3">
      <c r="A152">
        <v>48317954</v>
      </c>
      <c r="B152" s="1" t="s">
        <v>23</v>
      </c>
      <c r="C152" s="1" t="s">
        <v>26</v>
      </c>
      <c r="D152" s="1" t="s">
        <v>27</v>
      </c>
      <c r="E152" s="1" t="s">
        <v>33</v>
      </c>
      <c r="F152" s="1" t="s">
        <v>22</v>
      </c>
      <c r="G152" s="1" t="s">
        <v>23</v>
      </c>
      <c r="H152">
        <v>1</v>
      </c>
      <c r="I152" s="1" t="s">
        <v>16</v>
      </c>
      <c r="J152">
        <v>487</v>
      </c>
      <c r="K152" s="1" t="s">
        <v>144</v>
      </c>
      <c r="L152" s="1" t="s">
        <v>52</v>
      </c>
      <c r="M152">
        <v>110019</v>
      </c>
      <c r="N152" s="1" t="s">
        <v>19</v>
      </c>
    </row>
    <row r="153" spans="1:14" x14ac:dyDescent="0.3">
      <c r="A153">
        <v>30171519</v>
      </c>
      <c r="B153" s="1" t="s">
        <v>23</v>
      </c>
      <c r="C153" s="1" t="s">
        <v>26</v>
      </c>
      <c r="D153" s="1" t="s">
        <v>27</v>
      </c>
      <c r="E153" s="1" t="s">
        <v>33</v>
      </c>
      <c r="F153" s="1" t="s">
        <v>41</v>
      </c>
      <c r="G153" s="1" t="s">
        <v>23</v>
      </c>
      <c r="H153">
        <v>1</v>
      </c>
      <c r="I153" s="1" t="s">
        <v>16</v>
      </c>
      <c r="J153">
        <v>487</v>
      </c>
      <c r="K153" s="1" t="s">
        <v>145</v>
      </c>
      <c r="L153" s="1" t="s">
        <v>54</v>
      </c>
      <c r="M153">
        <v>122002</v>
      </c>
      <c r="N153" s="1" t="s">
        <v>19</v>
      </c>
    </row>
    <row r="154" spans="1:14" x14ac:dyDescent="0.3">
      <c r="A154">
        <v>42284337</v>
      </c>
      <c r="B154" s="1" t="s">
        <v>23</v>
      </c>
      <c r="C154" s="1" t="s">
        <v>26</v>
      </c>
      <c r="D154" s="1" t="s">
        <v>27</v>
      </c>
      <c r="E154" s="1" t="s">
        <v>13</v>
      </c>
      <c r="F154" s="1" t="s">
        <v>43</v>
      </c>
      <c r="G154" s="1" t="s">
        <v>23</v>
      </c>
      <c r="H154">
        <v>1</v>
      </c>
      <c r="I154" s="1" t="s">
        <v>16</v>
      </c>
      <c r="J154">
        <v>568</v>
      </c>
      <c r="K154" s="1" t="s">
        <v>24</v>
      </c>
      <c r="L154" s="1" t="s">
        <v>25</v>
      </c>
      <c r="M154">
        <v>560040</v>
      </c>
      <c r="N154" s="1" t="s">
        <v>19</v>
      </c>
    </row>
    <row r="155" spans="1:14" x14ac:dyDescent="0.3">
      <c r="A155">
        <v>34165145</v>
      </c>
      <c r="B155" s="1" t="s">
        <v>20</v>
      </c>
      <c r="C155" s="1" t="s">
        <v>11</v>
      </c>
      <c r="D155" s="1" t="s">
        <v>12</v>
      </c>
      <c r="E155" s="1" t="s">
        <v>21</v>
      </c>
      <c r="F155" s="1" t="s">
        <v>56</v>
      </c>
      <c r="G155" s="1" t="s">
        <v>23</v>
      </c>
      <c r="H155">
        <v>1</v>
      </c>
      <c r="I155" s="1" t="s">
        <v>16</v>
      </c>
      <c r="J155">
        <v>399</v>
      </c>
      <c r="K155" s="1" t="s">
        <v>24</v>
      </c>
      <c r="L155" s="1" t="s">
        <v>25</v>
      </c>
      <c r="M155">
        <v>560022</v>
      </c>
      <c r="N155" s="1" t="s">
        <v>19</v>
      </c>
    </row>
    <row r="156" spans="1:14" x14ac:dyDescent="0.3">
      <c r="A156">
        <v>22367566</v>
      </c>
      <c r="B156" s="1" t="s">
        <v>23</v>
      </c>
      <c r="C156" s="1" t="s">
        <v>26</v>
      </c>
      <c r="D156" s="1" t="s">
        <v>27</v>
      </c>
      <c r="E156" s="1" t="s">
        <v>21</v>
      </c>
      <c r="F156" s="1" t="s">
        <v>41</v>
      </c>
      <c r="G156" s="1" t="s">
        <v>23</v>
      </c>
      <c r="H156">
        <v>1</v>
      </c>
      <c r="I156" s="1" t="s">
        <v>16</v>
      </c>
      <c r="J156">
        <v>295</v>
      </c>
      <c r="K156" s="1" t="s">
        <v>17</v>
      </c>
      <c r="L156" s="1" t="s">
        <v>18</v>
      </c>
      <c r="M156">
        <v>400069</v>
      </c>
      <c r="N156" s="1" t="s">
        <v>19</v>
      </c>
    </row>
    <row r="157" spans="1:14" x14ac:dyDescent="0.3">
      <c r="A157">
        <v>41755513</v>
      </c>
      <c r="B157" s="1" t="s">
        <v>23</v>
      </c>
      <c r="C157" s="1" t="s">
        <v>26</v>
      </c>
      <c r="D157" s="1" t="s">
        <v>27</v>
      </c>
      <c r="E157" s="1" t="s">
        <v>21</v>
      </c>
      <c r="F157" s="1" t="s">
        <v>22</v>
      </c>
      <c r="G157" s="1" t="s">
        <v>23</v>
      </c>
      <c r="H157">
        <v>1</v>
      </c>
      <c r="I157" s="1" t="s">
        <v>16</v>
      </c>
      <c r="J157">
        <v>484</v>
      </c>
      <c r="K157" s="1" t="s">
        <v>146</v>
      </c>
      <c r="L157" s="1" t="s">
        <v>37</v>
      </c>
      <c r="M157">
        <v>246722</v>
      </c>
      <c r="N157" s="1" t="s">
        <v>19</v>
      </c>
    </row>
    <row r="158" spans="1:14" x14ac:dyDescent="0.3">
      <c r="A158">
        <v>66456305</v>
      </c>
      <c r="B158" s="1" t="s">
        <v>23</v>
      </c>
      <c r="C158" s="1" t="s">
        <v>26</v>
      </c>
      <c r="D158" s="1" t="s">
        <v>27</v>
      </c>
      <c r="E158" s="1" t="s">
        <v>13</v>
      </c>
      <c r="F158" s="1" t="s">
        <v>41</v>
      </c>
      <c r="G158" s="1" t="s">
        <v>23</v>
      </c>
      <c r="H158">
        <v>1</v>
      </c>
      <c r="I158" s="1" t="s">
        <v>16</v>
      </c>
      <c r="J158">
        <v>626</v>
      </c>
      <c r="K158" s="1" t="s">
        <v>17</v>
      </c>
      <c r="L158" s="1" t="s">
        <v>18</v>
      </c>
      <c r="M158">
        <v>400078</v>
      </c>
      <c r="N158" s="1" t="s">
        <v>19</v>
      </c>
    </row>
    <row r="159" spans="1:14" x14ac:dyDescent="0.3">
      <c r="A159">
        <v>88276347</v>
      </c>
      <c r="B159" s="1" t="s">
        <v>23</v>
      </c>
      <c r="C159" s="1" t="s">
        <v>26</v>
      </c>
      <c r="D159" s="1" t="s">
        <v>27</v>
      </c>
      <c r="E159" s="1" t="s">
        <v>13</v>
      </c>
      <c r="F159" s="1" t="s">
        <v>56</v>
      </c>
      <c r="G159" s="1" t="s">
        <v>23</v>
      </c>
      <c r="H159">
        <v>1</v>
      </c>
      <c r="I159" s="1" t="s">
        <v>16</v>
      </c>
      <c r="J159">
        <v>563</v>
      </c>
      <c r="K159" s="1" t="s">
        <v>147</v>
      </c>
      <c r="L159" s="1" t="s">
        <v>37</v>
      </c>
      <c r="M159">
        <v>211001</v>
      </c>
      <c r="N159" s="1" t="s">
        <v>19</v>
      </c>
    </row>
    <row r="160" spans="1:14" x14ac:dyDescent="0.3">
      <c r="A160">
        <v>53129958</v>
      </c>
      <c r="B160" s="1" t="s">
        <v>20</v>
      </c>
      <c r="C160" s="1" t="s">
        <v>11</v>
      </c>
      <c r="D160" s="1" t="s">
        <v>12</v>
      </c>
      <c r="E160" s="1" t="s">
        <v>33</v>
      </c>
      <c r="F160" s="1" t="s">
        <v>31</v>
      </c>
      <c r="G160" s="1" t="s">
        <v>23</v>
      </c>
      <c r="H160">
        <v>1</v>
      </c>
      <c r="I160" s="1" t="s">
        <v>16</v>
      </c>
      <c r="J160">
        <v>387</v>
      </c>
      <c r="K160" s="1" t="s">
        <v>148</v>
      </c>
      <c r="L160" s="1" t="s">
        <v>18</v>
      </c>
      <c r="M160">
        <v>401202</v>
      </c>
      <c r="N160" s="1" t="s">
        <v>19</v>
      </c>
    </row>
    <row r="161" spans="1:14" x14ac:dyDescent="0.3">
      <c r="A161">
        <v>35752314</v>
      </c>
      <c r="B161" s="1" t="s">
        <v>10</v>
      </c>
      <c r="C161" s="1" t="s">
        <v>11</v>
      </c>
      <c r="D161" s="1" t="s">
        <v>12</v>
      </c>
      <c r="E161" s="1" t="s">
        <v>33</v>
      </c>
      <c r="F161" s="1" t="s">
        <v>31</v>
      </c>
      <c r="G161" s="1" t="s">
        <v>15</v>
      </c>
      <c r="H161">
        <v>2</v>
      </c>
      <c r="I161" s="1" t="s">
        <v>16</v>
      </c>
      <c r="J161">
        <v>464</v>
      </c>
      <c r="K161" s="1" t="s">
        <v>24</v>
      </c>
      <c r="L161" s="1" t="s">
        <v>25</v>
      </c>
      <c r="M161">
        <v>560087</v>
      </c>
      <c r="N161" s="1" t="s">
        <v>19</v>
      </c>
    </row>
    <row r="162" spans="1:14" x14ac:dyDescent="0.3">
      <c r="A162">
        <v>26531553</v>
      </c>
      <c r="B162" s="1" t="s">
        <v>23</v>
      </c>
      <c r="C162" s="1" t="s">
        <v>26</v>
      </c>
      <c r="D162" s="1" t="s">
        <v>27</v>
      </c>
      <c r="E162" s="1" t="s">
        <v>33</v>
      </c>
      <c r="F162" s="1" t="s">
        <v>31</v>
      </c>
      <c r="G162" s="1" t="s">
        <v>23</v>
      </c>
      <c r="H162">
        <v>1</v>
      </c>
      <c r="I162" s="1" t="s">
        <v>16</v>
      </c>
      <c r="J162">
        <v>512</v>
      </c>
      <c r="K162" s="1" t="s">
        <v>146</v>
      </c>
      <c r="L162" s="1" t="s">
        <v>37</v>
      </c>
      <c r="M162">
        <v>246701</v>
      </c>
      <c r="N162" s="1" t="s">
        <v>19</v>
      </c>
    </row>
    <row r="163" spans="1:14" x14ac:dyDescent="0.3">
      <c r="A163">
        <v>76399551</v>
      </c>
      <c r="B163" s="1" t="s">
        <v>23</v>
      </c>
      <c r="C163" s="1" t="s">
        <v>26</v>
      </c>
      <c r="D163" s="1" t="s">
        <v>27</v>
      </c>
      <c r="E163" s="1" t="s">
        <v>13</v>
      </c>
      <c r="F163" s="1" t="s">
        <v>14</v>
      </c>
      <c r="G163" s="1" t="s">
        <v>23</v>
      </c>
      <c r="H163">
        <v>1</v>
      </c>
      <c r="I163" s="1" t="s">
        <v>16</v>
      </c>
      <c r="J163">
        <v>1112</v>
      </c>
      <c r="K163" s="1" t="s">
        <v>39</v>
      </c>
      <c r="L163" s="1" t="s">
        <v>40</v>
      </c>
      <c r="M163">
        <v>500085</v>
      </c>
      <c r="N163" s="1" t="s">
        <v>19</v>
      </c>
    </row>
    <row r="164" spans="1:14" x14ac:dyDescent="0.3">
      <c r="A164">
        <v>96763536</v>
      </c>
      <c r="B164" s="1" t="s">
        <v>10</v>
      </c>
      <c r="C164" s="1" t="s">
        <v>26</v>
      </c>
      <c r="D164" s="1" t="s">
        <v>27</v>
      </c>
      <c r="E164" s="1" t="s">
        <v>13</v>
      </c>
      <c r="F164" s="1" t="s">
        <v>56</v>
      </c>
      <c r="G164" s="1" t="s">
        <v>116</v>
      </c>
      <c r="H164">
        <v>1</v>
      </c>
      <c r="I164" s="1" t="s">
        <v>16</v>
      </c>
      <c r="J164">
        <v>626</v>
      </c>
      <c r="K164" s="1" t="s">
        <v>24</v>
      </c>
      <c r="L164" s="1" t="s">
        <v>25</v>
      </c>
      <c r="M164">
        <v>560037</v>
      </c>
      <c r="N164" s="1" t="s">
        <v>19</v>
      </c>
    </row>
    <row r="165" spans="1:14" x14ac:dyDescent="0.3">
      <c r="A165">
        <v>5281963</v>
      </c>
      <c r="B165" s="1" t="s">
        <v>23</v>
      </c>
      <c r="C165" s="1" t="s">
        <v>26</v>
      </c>
      <c r="D165" s="1" t="s">
        <v>27</v>
      </c>
      <c r="E165" s="1" t="s">
        <v>21</v>
      </c>
      <c r="F165" s="1" t="s">
        <v>41</v>
      </c>
      <c r="G165" s="1" t="s">
        <v>23</v>
      </c>
      <c r="H165">
        <v>1</v>
      </c>
      <c r="I165" s="1" t="s">
        <v>16</v>
      </c>
      <c r="J165">
        <v>376</v>
      </c>
      <c r="K165" s="1" t="s">
        <v>39</v>
      </c>
      <c r="L165" s="1" t="s">
        <v>40</v>
      </c>
      <c r="M165">
        <v>500090</v>
      </c>
      <c r="N165" s="1" t="s">
        <v>19</v>
      </c>
    </row>
    <row r="166" spans="1:14" x14ac:dyDescent="0.3">
      <c r="A166">
        <v>86047538</v>
      </c>
      <c r="B166" s="1" t="s">
        <v>23</v>
      </c>
      <c r="C166" s="1" t="s">
        <v>26</v>
      </c>
      <c r="D166" s="1" t="s">
        <v>27</v>
      </c>
      <c r="E166" s="1" t="s">
        <v>30</v>
      </c>
      <c r="F166" s="1" t="s">
        <v>56</v>
      </c>
      <c r="G166" s="1" t="s">
        <v>23</v>
      </c>
      <c r="H166">
        <v>1</v>
      </c>
      <c r="I166" s="1" t="s">
        <v>16</v>
      </c>
      <c r="J166">
        <v>859</v>
      </c>
      <c r="K166" s="1" t="s">
        <v>24</v>
      </c>
      <c r="L166" s="1" t="s">
        <v>25</v>
      </c>
      <c r="M166">
        <v>560075</v>
      </c>
      <c r="N166" s="1" t="s">
        <v>19</v>
      </c>
    </row>
    <row r="167" spans="1:14" x14ac:dyDescent="0.3">
      <c r="A167">
        <v>26065935</v>
      </c>
      <c r="B167" s="1" t="s">
        <v>23</v>
      </c>
      <c r="C167" s="1" t="s">
        <v>26</v>
      </c>
      <c r="D167" s="1" t="s">
        <v>27</v>
      </c>
      <c r="E167" s="1" t="s">
        <v>13</v>
      </c>
      <c r="F167" s="1" t="s">
        <v>31</v>
      </c>
      <c r="G167" s="1" t="s">
        <v>23</v>
      </c>
      <c r="H167">
        <v>1</v>
      </c>
      <c r="I167" s="1" t="s">
        <v>16</v>
      </c>
      <c r="J167">
        <v>597</v>
      </c>
      <c r="K167" s="1" t="s">
        <v>149</v>
      </c>
      <c r="L167" s="1" t="s">
        <v>25</v>
      </c>
      <c r="M167">
        <v>575001</v>
      </c>
      <c r="N167" s="1" t="s">
        <v>19</v>
      </c>
    </row>
    <row r="168" spans="1:14" x14ac:dyDescent="0.3">
      <c r="A168">
        <v>59109154</v>
      </c>
      <c r="B168" s="1" t="s">
        <v>23</v>
      </c>
      <c r="C168" s="1" t="s">
        <v>26</v>
      </c>
      <c r="D168" s="1" t="s">
        <v>27</v>
      </c>
      <c r="E168" s="1" t="s">
        <v>21</v>
      </c>
      <c r="F168" s="1" t="s">
        <v>28</v>
      </c>
      <c r="G168" s="1" t="s">
        <v>23</v>
      </c>
      <c r="H168">
        <v>1</v>
      </c>
      <c r="I168" s="1" t="s">
        <v>16</v>
      </c>
      <c r="J168">
        <v>329</v>
      </c>
      <c r="K168" s="1" t="s">
        <v>39</v>
      </c>
      <c r="L168" s="1" t="s">
        <v>40</v>
      </c>
      <c r="M168">
        <v>500034</v>
      </c>
      <c r="N168" s="1" t="s">
        <v>19</v>
      </c>
    </row>
    <row r="169" spans="1:14" x14ac:dyDescent="0.3">
      <c r="A169">
        <v>93941948</v>
      </c>
      <c r="B169" s="1" t="s">
        <v>20</v>
      </c>
      <c r="C169" s="1" t="s">
        <v>11</v>
      </c>
      <c r="D169" s="1" t="s">
        <v>12</v>
      </c>
      <c r="E169" s="1" t="s">
        <v>13</v>
      </c>
      <c r="F169" s="1" t="s">
        <v>28</v>
      </c>
      <c r="G169" s="1" t="s">
        <v>23</v>
      </c>
      <c r="H169">
        <v>1</v>
      </c>
      <c r="I169" s="1" t="s">
        <v>16</v>
      </c>
      <c r="J169">
        <v>583</v>
      </c>
      <c r="K169" s="1" t="s">
        <v>150</v>
      </c>
      <c r="L169" s="1" t="s">
        <v>80</v>
      </c>
      <c r="M169">
        <v>700059</v>
      </c>
      <c r="N169" s="1" t="s">
        <v>19</v>
      </c>
    </row>
    <row r="170" spans="1:14" x14ac:dyDescent="0.3">
      <c r="A170">
        <v>82560327</v>
      </c>
      <c r="B170" s="1" t="s">
        <v>23</v>
      </c>
      <c r="C170" s="1" t="s">
        <v>26</v>
      </c>
      <c r="D170" s="1" t="s">
        <v>27</v>
      </c>
      <c r="E170" s="1" t="s">
        <v>30</v>
      </c>
      <c r="F170" s="1" t="s">
        <v>31</v>
      </c>
      <c r="G170" s="1" t="s">
        <v>23</v>
      </c>
      <c r="H170">
        <v>1</v>
      </c>
      <c r="I170" s="1" t="s">
        <v>16</v>
      </c>
      <c r="J170">
        <v>665</v>
      </c>
      <c r="K170" s="1" t="s">
        <v>17</v>
      </c>
      <c r="L170" s="1" t="s">
        <v>18</v>
      </c>
      <c r="M170">
        <v>400016</v>
      </c>
      <c r="N170" s="1" t="s">
        <v>19</v>
      </c>
    </row>
    <row r="171" spans="1:14" x14ac:dyDescent="0.3">
      <c r="A171">
        <v>36183541</v>
      </c>
      <c r="B171" s="1" t="s">
        <v>23</v>
      </c>
      <c r="C171" s="1" t="s">
        <v>26</v>
      </c>
      <c r="D171" s="1" t="s">
        <v>27</v>
      </c>
      <c r="E171" s="1" t="s">
        <v>13</v>
      </c>
      <c r="F171" s="1" t="s">
        <v>31</v>
      </c>
      <c r="G171" s="1" t="s">
        <v>23</v>
      </c>
      <c r="H171">
        <v>1</v>
      </c>
      <c r="I171" s="1" t="s">
        <v>16</v>
      </c>
      <c r="J171">
        <v>582</v>
      </c>
      <c r="K171" s="1" t="s">
        <v>17</v>
      </c>
      <c r="L171" s="1" t="s">
        <v>18</v>
      </c>
      <c r="M171">
        <v>400016</v>
      </c>
      <c r="N171" s="1" t="s">
        <v>19</v>
      </c>
    </row>
    <row r="172" spans="1:14" x14ac:dyDescent="0.3">
      <c r="A172">
        <v>29917143</v>
      </c>
      <c r="B172" s="1" t="s">
        <v>23</v>
      </c>
      <c r="C172" s="1" t="s">
        <v>26</v>
      </c>
      <c r="D172" s="1" t="s">
        <v>27</v>
      </c>
      <c r="E172" s="1" t="s">
        <v>13</v>
      </c>
      <c r="F172" s="1" t="s">
        <v>28</v>
      </c>
      <c r="G172" s="1" t="s">
        <v>23</v>
      </c>
      <c r="H172">
        <v>1</v>
      </c>
      <c r="I172" s="1" t="s">
        <v>16</v>
      </c>
      <c r="J172">
        <v>1126</v>
      </c>
      <c r="K172" s="1" t="s">
        <v>151</v>
      </c>
      <c r="L172" s="1" t="s">
        <v>37</v>
      </c>
      <c r="M172">
        <v>244302</v>
      </c>
      <c r="N172" s="1" t="s">
        <v>19</v>
      </c>
    </row>
    <row r="173" spans="1:14" x14ac:dyDescent="0.3">
      <c r="A173">
        <v>90949104</v>
      </c>
      <c r="B173" s="1" t="s">
        <v>23</v>
      </c>
      <c r="C173" s="1" t="s">
        <v>26</v>
      </c>
      <c r="D173" s="1" t="s">
        <v>27</v>
      </c>
      <c r="E173" s="1" t="s">
        <v>21</v>
      </c>
      <c r="F173" s="1" t="s">
        <v>46</v>
      </c>
      <c r="G173" s="1" t="s">
        <v>23</v>
      </c>
      <c r="H173">
        <v>1</v>
      </c>
      <c r="I173" s="1" t="s">
        <v>16</v>
      </c>
      <c r="J173">
        <v>534</v>
      </c>
      <c r="K173" s="1" t="s">
        <v>91</v>
      </c>
      <c r="L173" s="1" t="s">
        <v>18</v>
      </c>
      <c r="M173">
        <v>441002</v>
      </c>
      <c r="N173" s="1" t="s">
        <v>19</v>
      </c>
    </row>
    <row r="174" spans="1:14" x14ac:dyDescent="0.3">
      <c r="A174">
        <v>63245939</v>
      </c>
      <c r="B174" s="1" t="s">
        <v>23</v>
      </c>
      <c r="C174" s="1" t="s">
        <v>26</v>
      </c>
      <c r="D174" s="1" t="s">
        <v>27</v>
      </c>
      <c r="E174" s="1" t="s">
        <v>21</v>
      </c>
      <c r="F174" s="1" t="s">
        <v>41</v>
      </c>
      <c r="G174" s="1" t="s">
        <v>23</v>
      </c>
      <c r="H174">
        <v>1</v>
      </c>
      <c r="I174" s="1" t="s">
        <v>16</v>
      </c>
      <c r="J174">
        <v>319</v>
      </c>
      <c r="K174" s="1" t="s">
        <v>152</v>
      </c>
      <c r="L174" s="1" t="s">
        <v>35</v>
      </c>
      <c r="M174">
        <v>607202</v>
      </c>
      <c r="N174" s="1" t="s">
        <v>19</v>
      </c>
    </row>
    <row r="175" spans="1:14" x14ac:dyDescent="0.3">
      <c r="A175">
        <v>67988329</v>
      </c>
      <c r="B175" s="1" t="s">
        <v>23</v>
      </c>
      <c r="C175" s="1" t="s">
        <v>26</v>
      </c>
      <c r="D175" s="1" t="s">
        <v>27</v>
      </c>
      <c r="E175" s="1" t="s">
        <v>21</v>
      </c>
      <c r="F175" s="1" t="s">
        <v>14</v>
      </c>
      <c r="G175" s="1" t="s">
        <v>23</v>
      </c>
      <c r="H175">
        <v>1</v>
      </c>
      <c r="I175" s="1" t="s">
        <v>16</v>
      </c>
      <c r="J175">
        <v>368</v>
      </c>
      <c r="K175" s="1" t="s">
        <v>153</v>
      </c>
      <c r="L175" s="1" t="s">
        <v>18</v>
      </c>
      <c r="M175">
        <v>416410</v>
      </c>
      <c r="N175" s="1" t="s">
        <v>19</v>
      </c>
    </row>
    <row r="176" spans="1:14" x14ac:dyDescent="0.3">
      <c r="A176">
        <v>49817146</v>
      </c>
      <c r="B176" s="1" t="s">
        <v>10</v>
      </c>
      <c r="C176" s="1" t="s">
        <v>26</v>
      </c>
      <c r="D176" s="1" t="s">
        <v>27</v>
      </c>
      <c r="E176" s="1" t="s">
        <v>13</v>
      </c>
      <c r="F176" s="1" t="s">
        <v>56</v>
      </c>
      <c r="G176" s="1" t="s">
        <v>116</v>
      </c>
      <c r="H176">
        <v>1</v>
      </c>
      <c r="I176" s="1" t="s">
        <v>16</v>
      </c>
      <c r="J176">
        <v>597</v>
      </c>
      <c r="K176" s="1" t="s">
        <v>129</v>
      </c>
      <c r="L176" s="1" t="s">
        <v>18</v>
      </c>
      <c r="M176">
        <v>421306</v>
      </c>
      <c r="N176" s="1" t="s">
        <v>19</v>
      </c>
    </row>
    <row r="177" spans="1:14" x14ac:dyDescent="0.3">
      <c r="A177">
        <v>96219537</v>
      </c>
      <c r="B177" s="1" t="s">
        <v>10</v>
      </c>
      <c r="C177" s="1" t="s">
        <v>26</v>
      </c>
      <c r="D177" s="1" t="s">
        <v>27</v>
      </c>
      <c r="E177" s="1" t="s">
        <v>13</v>
      </c>
      <c r="F177" s="1" t="s">
        <v>41</v>
      </c>
      <c r="G177" s="1" t="s">
        <v>116</v>
      </c>
      <c r="H177">
        <v>1</v>
      </c>
      <c r="I177" s="1" t="s">
        <v>16</v>
      </c>
      <c r="J177">
        <v>654</v>
      </c>
      <c r="K177" s="1" t="s">
        <v>154</v>
      </c>
      <c r="L177" s="1" t="s">
        <v>25</v>
      </c>
      <c r="M177">
        <v>570016</v>
      </c>
      <c r="N177" s="1" t="s">
        <v>19</v>
      </c>
    </row>
    <row r="178" spans="1:14" x14ac:dyDescent="0.3">
      <c r="A178">
        <v>8089120</v>
      </c>
      <c r="B178" s="1" t="s">
        <v>23</v>
      </c>
      <c r="C178" s="1" t="s">
        <v>26</v>
      </c>
      <c r="D178" s="1" t="s">
        <v>27</v>
      </c>
      <c r="E178" s="1" t="s">
        <v>21</v>
      </c>
      <c r="F178" s="1" t="s">
        <v>56</v>
      </c>
      <c r="G178" s="1" t="s">
        <v>23</v>
      </c>
      <c r="H178">
        <v>1</v>
      </c>
      <c r="I178" s="1" t="s">
        <v>16</v>
      </c>
      <c r="J178">
        <v>795</v>
      </c>
      <c r="K178" s="1" t="s">
        <v>155</v>
      </c>
      <c r="L178" s="1" t="s">
        <v>93</v>
      </c>
      <c r="M178">
        <v>393002</v>
      </c>
      <c r="N178" s="1" t="s">
        <v>19</v>
      </c>
    </row>
    <row r="179" spans="1:14" x14ac:dyDescent="0.3">
      <c r="A179">
        <v>60839536</v>
      </c>
      <c r="B179" s="1" t="s">
        <v>20</v>
      </c>
      <c r="C179" s="1" t="s">
        <v>11</v>
      </c>
      <c r="D179" s="1" t="s">
        <v>12</v>
      </c>
      <c r="E179" s="1" t="s">
        <v>30</v>
      </c>
      <c r="F179" s="1" t="s">
        <v>56</v>
      </c>
      <c r="G179" s="1" t="s">
        <v>23</v>
      </c>
      <c r="H179">
        <v>1</v>
      </c>
      <c r="I179" s="1" t="s">
        <v>16</v>
      </c>
      <c r="J179">
        <v>744</v>
      </c>
      <c r="K179" s="1" t="s">
        <v>42</v>
      </c>
      <c r="L179" s="1" t="s">
        <v>35</v>
      </c>
      <c r="M179">
        <v>600117</v>
      </c>
      <c r="N179" s="1" t="s">
        <v>19</v>
      </c>
    </row>
    <row r="180" spans="1:14" x14ac:dyDescent="0.3">
      <c r="A180">
        <v>44672325</v>
      </c>
      <c r="B180" s="1" t="s">
        <v>23</v>
      </c>
      <c r="C180" s="1" t="s">
        <v>26</v>
      </c>
      <c r="D180" s="1" t="s">
        <v>27</v>
      </c>
      <c r="E180" s="1" t="s">
        <v>21</v>
      </c>
      <c r="F180" s="1" t="s">
        <v>64</v>
      </c>
      <c r="G180" s="1" t="s">
        <v>23</v>
      </c>
      <c r="H180">
        <v>1</v>
      </c>
      <c r="I180" s="1" t="s">
        <v>16</v>
      </c>
      <c r="J180">
        <v>692</v>
      </c>
      <c r="K180" s="1" t="s">
        <v>156</v>
      </c>
      <c r="L180" s="1" t="s">
        <v>37</v>
      </c>
      <c r="M180">
        <v>201009</v>
      </c>
      <c r="N180" s="1" t="s">
        <v>19</v>
      </c>
    </row>
    <row r="181" spans="1:14" x14ac:dyDescent="0.3">
      <c r="A181">
        <v>54565113</v>
      </c>
      <c r="B181" s="1" t="s">
        <v>23</v>
      </c>
      <c r="C181" s="1" t="s">
        <v>26</v>
      </c>
      <c r="D181" s="1" t="s">
        <v>27</v>
      </c>
      <c r="E181" s="1" t="s">
        <v>33</v>
      </c>
      <c r="F181" s="1" t="s">
        <v>56</v>
      </c>
      <c r="G181" s="1" t="s">
        <v>23</v>
      </c>
      <c r="H181">
        <v>1</v>
      </c>
      <c r="I181" s="1" t="s">
        <v>16</v>
      </c>
      <c r="J181">
        <v>563</v>
      </c>
      <c r="K181" s="1" t="s">
        <v>157</v>
      </c>
      <c r="L181" s="1" t="s">
        <v>108</v>
      </c>
      <c r="M181">
        <v>180007</v>
      </c>
      <c r="N181" s="1" t="s">
        <v>19</v>
      </c>
    </row>
    <row r="182" spans="1:14" x14ac:dyDescent="0.3">
      <c r="A182">
        <v>15319548</v>
      </c>
      <c r="B182" s="1" t="s">
        <v>23</v>
      </c>
      <c r="C182" s="1" t="s">
        <v>26</v>
      </c>
      <c r="D182" s="1" t="s">
        <v>27</v>
      </c>
      <c r="E182" s="1" t="s">
        <v>33</v>
      </c>
      <c r="F182" s="1" t="s">
        <v>56</v>
      </c>
      <c r="G182" s="1" t="s">
        <v>23</v>
      </c>
      <c r="H182">
        <v>1</v>
      </c>
      <c r="I182" s="1" t="s">
        <v>16</v>
      </c>
      <c r="J182">
        <v>545</v>
      </c>
      <c r="K182" s="1" t="s">
        <v>24</v>
      </c>
      <c r="L182" s="1" t="s">
        <v>25</v>
      </c>
      <c r="M182">
        <v>560085</v>
      </c>
      <c r="N182" s="1" t="s">
        <v>19</v>
      </c>
    </row>
    <row r="183" spans="1:14" x14ac:dyDescent="0.3">
      <c r="A183">
        <v>81167564</v>
      </c>
      <c r="B183" s="1" t="s">
        <v>23</v>
      </c>
      <c r="C183" s="1" t="s">
        <v>26</v>
      </c>
      <c r="D183" s="1" t="s">
        <v>27</v>
      </c>
      <c r="E183" s="1" t="s">
        <v>13</v>
      </c>
      <c r="F183" s="1" t="s">
        <v>31</v>
      </c>
      <c r="G183" s="1" t="s">
        <v>23</v>
      </c>
      <c r="H183">
        <v>1</v>
      </c>
      <c r="I183" s="1" t="s">
        <v>16</v>
      </c>
      <c r="J183">
        <v>999</v>
      </c>
      <c r="K183" s="1" t="s">
        <v>158</v>
      </c>
      <c r="L183" s="1" t="s">
        <v>159</v>
      </c>
      <c r="M183">
        <v>791113</v>
      </c>
      <c r="N183" s="1" t="s">
        <v>19</v>
      </c>
    </row>
    <row r="184" spans="1:14" x14ac:dyDescent="0.3">
      <c r="A184">
        <v>91581965</v>
      </c>
      <c r="B184" s="1" t="s">
        <v>23</v>
      </c>
      <c r="C184" s="1" t="s">
        <v>26</v>
      </c>
      <c r="D184" s="1" t="s">
        <v>27</v>
      </c>
      <c r="E184" s="1" t="s">
        <v>13</v>
      </c>
      <c r="F184" s="1" t="s">
        <v>22</v>
      </c>
      <c r="G184" s="1" t="s">
        <v>23</v>
      </c>
      <c r="H184">
        <v>1</v>
      </c>
      <c r="I184" s="1" t="s">
        <v>16</v>
      </c>
      <c r="J184">
        <v>449</v>
      </c>
      <c r="K184" s="1" t="s">
        <v>160</v>
      </c>
      <c r="L184" s="1" t="s">
        <v>80</v>
      </c>
      <c r="M184">
        <v>700064</v>
      </c>
      <c r="N184" s="1" t="s">
        <v>19</v>
      </c>
    </row>
    <row r="185" spans="1:14" x14ac:dyDescent="0.3">
      <c r="A185">
        <v>3584364</v>
      </c>
      <c r="B185" s="1" t="s">
        <v>23</v>
      </c>
      <c r="C185" s="1" t="s">
        <v>26</v>
      </c>
      <c r="D185" s="1" t="s">
        <v>27</v>
      </c>
      <c r="E185" s="1" t="s">
        <v>21</v>
      </c>
      <c r="F185" s="1" t="s">
        <v>56</v>
      </c>
      <c r="G185" s="1" t="s">
        <v>23</v>
      </c>
      <c r="H185">
        <v>1</v>
      </c>
      <c r="I185" s="1" t="s">
        <v>16</v>
      </c>
      <c r="J185">
        <v>375</v>
      </c>
      <c r="K185" s="1" t="s">
        <v>24</v>
      </c>
      <c r="L185" s="1" t="s">
        <v>25</v>
      </c>
      <c r="M185">
        <v>560064</v>
      </c>
      <c r="N185" s="1" t="s">
        <v>19</v>
      </c>
    </row>
    <row r="186" spans="1:14" x14ac:dyDescent="0.3">
      <c r="A186">
        <v>63563535</v>
      </c>
      <c r="B186" s="1" t="s">
        <v>23</v>
      </c>
      <c r="C186" s="1" t="s">
        <v>26</v>
      </c>
      <c r="D186" s="1" t="s">
        <v>27</v>
      </c>
      <c r="E186" s="1" t="s">
        <v>13</v>
      </c>
      <c r="F186" s="1" t="s">
        <v>56</v>
      </c>
      <c r="G186" s="1" t="s">
        <v>23</v>
      </c>
      <c r="H186">
        <v>1</v>
      </c>
      <c r="I186" s="1" t="s">
        <v>16</v>
      </c>
      <c r="J186">
        <v>771</v>
      </c>
      <c r="K186" s="1" t="s">
        <v>161</v>
      </c>
      <c r="L186" s="1" t="s">
        <v>93</v>
      </c>
      <c r="M186">
        <v>380015</v>
      </c>
      <c r="N186" s="1" t="s">
        <v>19</v>
      </c>
    </row>
    <row r="187" spans="1:14" x14ac:dyDescent="0.3">
      <c r="A187">
        <v>25385917</v>
      </c>
      <c r="B187" s="1" t="s">
        <v>23</v>
      </c>
      <c r="C187" s="1" t="s">
        <v>26</v>
      </c>
      <c r="D187" s="1" t="s">
        <v>27</v>
      </c>
      <c r="E187" s="1" t="s">
        <v>21</v>
      </c>
      <c r="F187" s="1" t="s">
        <v>31</v>
      </c>
      <c r="G187" s="1" t="s">
        <v>23</v>
      </c>
      <c r="H187">
        <v>1</v>
      </c>
      <c r="I187" s="1" t="s">
        <v>16</v>
      </c>
      <c r="J187">
        <v>399</v>
      </c>
      <c r="K187" s="1" t="s">
        <v>55</v>
      </c>
      <c r="L187" s="1" t="s">
        <v>35</v>
      </c>
      <c r="M187">
        <v>620001</v>
      </c>
      <c r="N187" s="1" t="s">
        <v>19</v>
      </c>
    </row>
    <row r="188" spans="1:14" x14ac:dyDescent="0.3">
      <c r="A188">
        <v>44180323</v>
      </c>
      <c r="B188" s="1" t="s">
        <v>20</v>
      </c>
      <c r="C188" s="1" t="s">
        <v>11</v>
      </c>
      <c r="D188" s="1" t="s">
        <v>12</v>
      </c>
      <c r="E188" s="1" t="s">
        <v>21</v>
      </c>
      <c r="F188" s="1" t="s">
        <v>41</v>
      </c>
      <c r="G188" s="1" t="s">
        <v>23</v>
      </c>
      <c r="H188">
        <v>1</v>
      </c>
      <c r="I188" s="1" t="s">
        <v>16</v>
      </c>
      <c r="J188">
        <v>0</v>
      </c>
      <c r="K188" s="1" t="s">
        <v>162</v>
      </c>
      <c r="L188" s="1" t="s">
        <v>71</v>
      </c>
      <c r="M188">
        <v>752054</v>
      </c>
      <c r="N188" s="1" t="s">
        <v>19</v>
      </c>
    </row>
    <row r="189" spans="1:14" x14ac:dyDescent="0.3">
      <c r="A189">
        <v>75096323</v>
      </c>
      <c r="B189" s="1" t="s">
        <v>23</v>
      </c>
      <c r="C189" s="1" t="s">
        <v>26</v>
      </c>
      <c r="D189" s="1" t="s">
        <v>27</v>
      </c>
      <c r="E189" s="1" t="s">
        <v>13</v>
      </c>
      <c r="F189" s="1" t="s">
        <v>22</v>
      </c>
      <c r="G189" s="1" t="s">
        <v>23</v>
      </c>
      <c r="H189">
        <v>1</v>
      </c>
      <c r="I189" s="1" t="s">
        <v>16</v>
      </c>
      <c r="J189">
        <v>654</v>
      </c>
      <c r="K189" s="1" t="s">
        <v>163</v>
      </c>
      <c r="L189" s="1" t="s">
        <v>37</v>
      </c>
      <c r="M189">
        <v>202001</v>
      </c>
      <c r="N189" s="1" t="s">
        <v>19</v>
      </c>
    </row>
    <row r="190" spans="1:14" x14ac:dyDescent="0.3">
      <c r="A190">
        <v>57537140</v>
      </c>
      <c r="B190" s="1" t="s">
        <v>23</v>
      </c>
      <c r="C190" s="1" t="s">
        <v>26</v>
      </c>
      <c r="D190" s="1" t="s">
        <v>27</v>
      </c>
      <c r="E190" s="1" t="s">
        <v>21</v>
      </c>
      <c r="F190" s="1" t="s">
        <v>14</v>
      </c>
      <c r="G190" s="1" t="s">
        <v>23</v>
      </c>
      <c r="H190">
        <v>1</v>
      </c>
      <c r="I190" s="1" t="s">
        <v>16</v>
      </c>
      <c r="J190">
        <v>424</v>
      </c>
      <c r="K190" s="1" t="s">
        <v>164</v>
      </c>
      <c r="L190" s="1" t="s">
        <v>73</v>
      </c>
      <c r="M190">
        <v>682006</v>
      </c>
      <c r="N190" s="1" t="s">
        <v>19</v>
      </c>
    </row>
    <row r="191" spans="1:14" x14ac:dyDescent="0.3">
      <c r="A191">
        <v>4756317</v>
      </c>
      <c r="B191" s="1" t="s">
        <v>23</v>
      </c>
      <c r="C191" s="1" t="s">
        <v>26</v>
      </c>
      <c r="D191" s="1" t="s">
        <v>27</v>
      </c>
      <c r="E191" s="1" t="s">
        <v>33</v>
      </c>
      <c r="F191" s="1" t="s">
        <v>43</v>
      </c>
      <c r="G191" s="1" t="s">
        <v>23</v>
      </c>
      <c r="H191">
        <v>1</v>
      </c>
      <c r="I191" s="1" t="s">
        <v>16</v>
      </c>
      <c r="J191">
        <v>432</v>
      </c>
      <c r="K191" s="1" t="s">
        <v>65</v>
      </c>
      <c r="L191" s="1" t="s">
        <v>18</v>
      </c>
      <c r="M191">
        <v>412207</v>
      </c>
      <c r="N191" s="1" t="s">
        <v>19</v>
      </c>
    </row>
    <row r="192" spans="1:14" x14ac:dyDescent="0.3">
      <c r="A192">
        <v>44299568</v>
      </c>
      <c r="B192" s="1" t="s">
        <v>20</v>
      </c>
      <c r="C192" s="1" t="s">
        <v>11</v>
      </c>
      <c r="D192" s="1" t="s">
        <v>12</v>
      </c>
      <c r="E192" s="1" t="s">
        <v>33</v>
      </c>
      <c r="F192" s="1" t="s">
        <v>43</v>
      </c>
      <c r="G192" s="1" t="s">
        <v>23</v>
      </c>
      <c r="H192">
        <v>1</v>
      </c>
      <c r="I192" s="1" t="s">
        <v>16</v>
      </c>
      <c r="J192">
        <v>399</v>
      </c>
      <c r="K192" s="1" t="s">
        <v>65</v>
      </c>
      <c r="L192" s="1" t="s">
        <v>18</v>
      </c>
      <c r="M192">
        <v>412207</v>
      </c>
      <c r="N192" s="1" t="s">
        <v>19</v>
      </c>
    </row>
    <row r="193" spans="1:14" x14ac:dyDescent="0.3">
      <c r="A193">
        <v>3888310</v>
      </c>
      <c r="B193" s="1" t="s">
        <v>23</v>
      </c>
      <c r="C193" s="1" t="s">
        <v>26</v>
      </c>
      <c r="D193" s="1" t="s">
        <v>27</v>
      </c>
      <c r="E193" s="1" t="s">
        <v>21</v>
      </c>
      <c r="F193" s="1" t="s">
        <v>31</v>
      </c>
      <c r="G193" s="1" t="s">
        <v>23</v>
      </c>
      <c r="H193">
        <v>1</v>
      </c>
      <c r="I193" s="1" t="s">
        <v>16</v>
      </c>
      <c r="J193">
        <v>399</v>
      </c>
      <c r="K193" s="1" t="s">
        <v>165</v>
      </c>
      <c r="L193" s="1" t="s">
        <v>25</v>
      </c>
      <c r="M193">
        <v>560016</v>
      </c>
      <c r="N193" s="1" t="s">
        <v>19</v>
      </c>
    </row>
    <row r="194" spans="1:14" x14ac:dyDescent="0.3">
      <c r="A194">
        <v>13923558</v>
      </c>
      <c r="B194" s="1" t="s">
        <v>23</v>
      </c>
      <c r="C194" s="1" t="s">
        <v>26</v>
      </c>
      <c r="D194" s="1" t="s">
        <v>27</v>
      </c>
      <c r="E194" s="1" t="s">
        <v>13</v>
      </c>
      <c r="F194" s="1" t="s">
        <v>14</v>
      </c>
      <c r="G194" s="1" t="s">
        <v>23</v>
      </c>
      <c r="H194">
        <v>1</v>
      </c>
      <c r="I194" s="1" t="s">
        <v>16</v>
      </c>
      <c r="J194">
        <v>597</v>
      </c>
      <c r="K194" s="1" t="s">
        <v>166</v>
      </c>
      <c r="L194" s="1" t="s">
        <v>73</v>
      </c>
      <c r="M194">
        <v>676517</v>
      </c>
      <c r="N194" s="1" t="s">
        <v>19</v>
      </c>
    </row>
    <row r="195" spans="1:14" x14ac:dyDescent="0.3">
      <c r="A195">
        <v>76264327</v>
      </c>
      <c r="B195" s="1" t="s">
        <v>23</v>
      </c>
      <c r="C195" s="1" t="s">
        <v>26</v>
      </c>
      <c r="D195" s="1" t="s">
        <v>27</v>
      </c>
      <c r="E195" s="1" t="s">
        <v>33</v>
      </c>
      <c r="F195" s="1" t="s">
        <v>56</v>
      </c>
      <c r="G195" s="1" t="s">
        <v>23</v>
      </c>
      <c r="H195">
        <v>1</v>
      </c>
      <c r="I195" s="1" t="s">
        <v>16</v>
      </c>
      <c r="J195">
        <v>463</v>
      </c>
      <c r="K195" s="1" t="s">
        <v>44</v>
      </c>
      <c r="L195" s="1" t="s">
        <v>37</v>
      </c>
      <c r="M195">
        <v>201301</v>
      </c>
      <c r="N195" s="1" t="s">
        <v>19</v>
      </c>
    </row>
    <row r="196" spans="1:14" x14ac:dyDescent="0.3">
      <c r="A196">
        <v>31173944</v>
      </c>
      <c r="B196" s="1" t="s">
        <v>23</v>
      </c>
      <c r="C196" s="1" t="s">
        <v>26</v>
      </c>
      <c r="D196" s="1" t="s">
        <v>27</v>
      </c>
      <c r="E196" s="1" t="s">
        <v>21</v>
      </c>
      <c r="F196" s="1" t="s">
        <v>28</v>
      </c>
      <c r="G196" s="1" t="s">
        <v>23</v>
      </c>
      <c r="H196">
        <v>1</v>
      </c>
      <c r="I196" s="1" t="s">
        <v>16</v>
      </c>
      <c r="J196">
        <v>484</v>
      </c>
      <c r="K196" s="1" t="s">
        <v>76</v>
      </c>
      <c r="L196" s="1" t="s">
        <v>37</v>
      </c>
      <c r="M196">
        <v>201308</v>
      </c>
      <c r="N196" s="1" t="s">
        <v>19</v>
      </c>
    </row>
    <row r="197" spans="1:14" x14ac:dyDescent="0.3">
      <c r="A197">
        <v>97526765</v>
      </c>
      <c r="B197" s="1" t="s">
        <v>23</v>
      </c>
      <c r="C197" s="1" t="s">
        <v>26</v>
      </c>
      <c r="D197" s="1" t="s">
        <v>27</v>
      </c>
      <c r="E197" s="1" t="s">
        <v>21</v>
      </c>
      <c r="F197" s="1" t="s">
        <v>14</v>
      </c>
      <c r="G197" s="1" t="s">
        <v>23</v>
      </c>
      <c r="H197">
        <v>1</v>
      </c>
      <c r="I197" s="1" t="s">
        <v>16</v>
      </c>
      <c r="J197">
        <v>635</v>
      </c>
      <c r="K197" s="1" t="s">
        <v>105</v>
      </c>
      <c r="L197" s="1" t="s">
        <v>106</v>
      </c>
      <c r="M197">
        <v>800023</v>
      </c>
      <c r="N197" s="1" t="s">
        <v>19</v>
      </c>
    </row>
    <row r="198" spans="1:14" x14ac:dyDescent="0.3">
      <c r="A198">
        <v>27244363</v>
      </c>
      <c r="B198" s="1" t="s">
        <v>23</v>
      </c>
      <c r="C198" s="1" t="s">
        <v>26</v>
      </c>
      <c r="D198" s="1" t="s">
        <v>27</v>
      </c>
      <c r="E198" s="1" t="s">
        <v>21</v>
      </c>
      <c r="F198" s="1" t="s">
        <v>41</v>
      </c>
      <c r="G198" s="1" t="s">
        <v>23</v>
      </c>
      <c r="H198">
        <v>1</v>
      </c>
      <c r="I198" s="1" t="s">
        <v>16</v>
      </c>
      <c r="J198">
        <v>685</v>
      </c>
      <c r="K198" s="1" t="s">
        <v>167</v>
      </c>
      <c r="L198" s="1" t="s">
        <v>59</v>
      </c>
      <c r="M198">
        <v>785674</v>
      </c>
      <c r="N198" s="1" t="s">
        <v>19</v>
      </c>
    </row>
    <row r="199" spans="1:14" x14ac:dyDescent="0.3">
      <c r="A199">
        <v>29096304</v>
      </c>
      <c r="B199" s="1" t="s">
        <v>20</v>
      </c>
      <c r="C199" s="1" t="s">
        <v>11</v>
      </c>
      <c r="D199" s="1" t="s">
        <v>12</v>
      </c>
      <c r="E199" s="1" t="s">
        <v>30</v>
      </c>
      <c r="F199" s="1" t="s">
        <v>56</v>
      </c>
      <c r="G199" s="1" t="s">
        <v>23</v>
      </c>
      <c r="H199">
        <v>1</v>
      </c>
      <c r="I199" s="1" t="s">
        <v>16</v>
      </c>
      <c r="J199">
        <v>725</v>
      </c>
      <c r="K199" s="1" t="s">
        <v>168</v>
      </c>
      <c r="L199" s="1" t="s">
        <v>106</v>
      </c>
      <c r="M199">
        <v>823001</v>
      </c>
      <c r="N199" s="1" t="s">
        <v>19</v>
      </c>
    </row>
    <row r="200" spans="1:14" x14ac:dyDescent="0.3">
      <c r="A200">
        <v>65423534</v>
      </c>
      <c r="B200" s="1" t="s">
        <v>23</v>
      </c>
      <c r="C200" s="1" t="s">
        <v>26</v>
      </c>
      <c r="D200" s="1" t="s">
        <v>27</v>
      </c>
      <c r="E200" s="1" t="s">
        <v>33</v>
      </c>
      <c r="F200" s="1" t="s">
        <v>28</v>
      </c>
      <c r="G200" s="1" t="s">
        <v>23</v>
      </c>
      <c r="H200">
        <v>1</v>
      </c>
      <c r="I200" s="1" t="s">
        <v>16</v>
      </c>
      <c r="J200">
        <v>487</v>
      </c>
      <c r="K200" s="1" t="s">
        <v>24</v>
      </c>
      <c r="L200" s="1" t="s">
        <v>25</v>
      </c>
      <c r="M200">
        <v>560083</v>
      </c>
      <c r="N200" s="1" t="s">
        <v>19</v>
      </c>
    </row>
    <row r="201" spans="1:14" x14ac:dyDescent="0.3">
      <c r="A201">
        <v>65852304</v>
      </c>
      <c r="B201" s="1" t="s">
        <v>10</v>
      </c>
      <c r="C201" s="1" t="s">
        <v>11</v>
      </c>
      <c r="D201" s="1" t="s">
        <v>12</v>
      </c>
      <c r="E201" s="1" t="s">
        <v>13</v>
      </c>
      <c r="F201" s="1" t="s">
        <v>41</v>
      </c>
      <c r="G201" s="1" t="s">
        <v>15</v>
      </c>
      <c r="H201">
        <v>2</v>
      </c>
      <c r="I201" s="1" t="s">
        <v>16</v>
      </c>
      <c r="J201">
        <v>1249</v>
      </c>
      <c r="K201" s="1" t="s">
        <v>145</v>
      </c>
      <c r="L201" s="1" t="s">
        <v>54</v>
      </c>
      <c r="M201">
        <v>122001</v>
      </c>
      <c r="N201" s="1" t="s">
        <v>19</v>
      </c>
    </row>
    <row r="202" spans="1:14" x14ac:dyDescent="0.3">
      <c r="A202">
        <v>43525948</v>
      </c>
      <c r="B202" s="1" t="s">
        <v>23</v>
      </c>
      <c r="C202" s="1" t="s">
        <v>26</v>
      </c>
      <c r="D202" s="1" t="s">
        <v>27</v>
      </c>
      <c r="E202" s="1" t="s">
        <v>13</v>
      </c>
      <c r="F202" s="1" t="s">
        <v>28</v>
      </c>
      <c r="G202" s="1" t="s">
        <v>23</v>
      </c>
      <c r="H202">
        <v>1</v>
      </c>
      <c r="I202" s="1" t="s">
        <v>16</v>
      </c>
      <c r="J202">
        <v>696</v>
      </c>
      <c r="K202" s="1" t="s">
        <v>169</v>
      </c>
      <c r="L202" s="1" t="s">
        <v>73</v>
      </c>
      <c r="M202">
        <v>691522</v>
      </c>
      <c r="N202" s="1" t="s">
        <v>19</v>
      </c>
    </row>
    <row r="203" spans="1:14" x14ac:dyDescent="0.3">
      <c r="A203">
        <v>1355530</v>
      </c>
      <c r="B203" s="1" t="s">
        <v>23</v>
      </c>
      <c r="C203" s="1" t="s">
        <v>26</v>
      </c>
      <c r="D203" s="1" t="s">
        <v>27</v>
      </c>
      <c r="E203" s="1" t="s">
        <v>21</v>
      </c>
      <c r="F203" s="1" t="s">
        <v>56</v>
      </c>
      <c r="G203" s="1" t="s">
        <v>23</v>
      </c>
      <c r="H203">
        <v>1</v>
      </c>
      <c r="I203" s="1" t="s">
        <v>16</v>
      </c>
      <c r="J203">
        <v>329</v>
      </c>
      <c r="K203" s="1" t="s">
        <v>39</v>
      </c>
      <c r="L203" s="1" t="s">
        <v>40</v>
      </c>
      <c r="M203">
        <v>500034</v>
      </c>
      <c r="N203" s="1" t="s">
        <v>19</v>
      </c>
    </row>
    <row r="204" spans="1:14" x14ac:dyDescent="0.3">
      <c r="A204">
        <v>71126707</v>
      </c>
      <c r="B204" s="1" t="s">
        <v>23</v>
      </c>
      <c r="C204" s="1" t="s">
        <v>26</v>
      </c>
      <c r="D204" s="1" t="s">
        <v>27</v>
      </c>
      <c r="E204" s="1" t="s">
        <v>21</v>
      </c>
      <c r="F204" s="1" t="s">
        <v>14</v>
      </c>
      <c r="G204" s="1" t="s">
        <v>23</v>
      </c>
      <c r="H204">
        <v>1</v>
      </c>
      <c r="I204" s="1" t="s">
        <v>16</v>
      </c>
      <c r="J204">
        <v>517</v>
      </c>
      <c r="K204" s="1" t="s">
        <v>65</v>
      </c>
      <c r="L204" s="1" t="s">
        <v>18</v>
      </c>
      <c r="M204">
        <v>411052</v>
      </c>
      <c r="N204" s="1" t="s">
        <v>19</v>
      </c>
    </row>
    <row r="205" spans="1:14" x14ac:dyDescent="0.3">
      <c r="A205">
        <v>63505949</v>
      </c>
      <c r="B205" s="1" t="s">
        <v>23</v>
      </c>
      <c r="C205" s="1" t="s">
        <v>26</v>
      </c>
      <c r="D205" s="1" t="s">
        <v>27</v>
      </c>
      <c r="E205" s="1" t="s">
        <v>13</v>
      </c>
      <c r="F205" s="1" t="s">
        <v>28</v>
      </c>
      <c r="G205" s="1" t="s">
        <v>23</v>
      </c>
      <c r="H205">
        <v>1</v>
      </c>
      <c r="I205" s="1" t="s">
        <v>16</v>
      </c>
      <c r="J205">
        <v>591</v>
      </c>
      <c r="K205" s="1" t="s">
        <v>65</v>
      </c>
      <c r="L205" s="1" t="s">
        <v>18</v>
      </c>
      <c r="M205">
        <v>411046</v>
      </c>
      <c r="N205" s="1" t="s">
        <v>19</v>
      </c>
    </row>
    <row r="206" spans="1:14" x14ac:dyDescent="0.3">
      <c r="A206">
        <v>97523514</v>
      </c>
      <c r="B206" s="1" t="s">
        <v>23</v>
      </c>
      <c r="C206" s="1" t="s">
        <v>26</v>
      </c>
      <c r="D206" s="1" t="s">
        <v>27</v>
      </c>
      <c r="E206" s="1" t="s">
        <v>21</v>
      </c>
      <c r="F206" s="1" t="s">
        <v>22</v>
      </c>
      <c r="G206" s="1" t="s">
        <v>23</v>
      </c>
      <c r="H206">
        <v>1</v>
      </c>
      <c r="I206" s="1" t="s">
        <v>16</v>
      </c>
      <c r="J206">
        <v>406</v>
      </c>
      <c r="K206" s="1" t="s">
        <v>170</v>
      </c>
      <c r="L206" s="1" t="s">
        <v>73</v>
      </c>
      <c r="M206">
        <v>670622</v>
      </c>
      <c r="N206" s="1" t="s">
        <v>19</v>
      </c>
    </row>
    <row r="207" spans="1:14" x14ac:dyDescent="0.3">
      <c r="A207">
        <v>42350757</v>
      </c>
      <c r="B207" s="1" t="s">
        <v>23</v>
      </c>
      <c r="C207" s="1" t="s">
        <v>26</v>
      </c>
      <c r="D207" s="1" t="s">
        <v>27</v>
      </c>
      <c r="E207" s="1" t="s">
        <v>13</v>
      </c>
      <c r="F207" s="1" t="s">
        <v>28</v>
      </c>
      <c r="G207" s="1" t="s">
        <v>23</v>
      </c>
      <c r="H207">
        <v>1</v>
      </c>
      <c r="I207" s="1" t="s">
        <v>16</v>
      </c>
      <c r="J207">
        <v>684</v>
      </c>
      <c r="K207" s="1" t="s">
        <v>24</v>
      </c>
      <c r="L207" s="1" t="s">
        <v>25</v>
      </c>
      <c r="M207">
        <v>560102</v>
      </c>
      <c r="N207" s="1" t="s">
        <v>19</v>
      </c>
    </row>
    <row r="208" spans="1:14" x14ac:dyDescent="0.3">
      <c r="A208">
        <v>58361103</v>
      </c>
      <c r="B208" s="1" t="s">
        <v>20</v>
      </c>
      <c r="C208" s="1" t="s">
        <v>11</v>
      </c>
      <c r="D208" s="1" t="s">
        <v>12</v>
      </c>
      <c r="E208" s="1" t="s">
        <v>13</v>
      </c>
      <c r="F208" s="1" t="s">
        <v>31</v>
      </c>
      <c r="G208" s="1" t="s">
        <v>23</v>
      </c>
      <c r="H208">
        <v>1</v>
      </c>
      <c r="I208" s="1" t="s">
        <v>16</v>
      </c>
      <c r="J208">
        <v>999</v>
      </c>
      <c r="K208" s="1" t="s">
        <v>24</v>
      </c>
      <c r="L208" s="1" t="s">
        <v>25</v>
      </c>
      <c r="M208">
        <v>560102</v>
      </c>
      <c r="N208" s="1" t="s">
        <v>19</v>
      </c>
    </row>
    <row r="209" spans="1:14" x14ac:dyDescent="0.3">
      <c r="A209">
        <v>95618751</v>
      </c>
      <c r="B209" s="1" t="s">
        <v>20</v>
      </c>
      <c r="C209" s="1" t="s">
        <v>11</v>
      </c>
      <c r="D209" s="1" t="s">
        <v>12</v>
      </c>
      <c r="E209" s="1" t="s">
        <v>21</v>
      </c>
      <c r="F209" s="1" t="s">
        <v>56</v>
      </c>
      <c r="G209" s="1" t="s">
        <v>23</v>
      </c>
      <c r="H209">
        <v>1</v>
      </c>
      <c r="I209" s="1" t="s">
        <v>16</v>
      </c>
      <c r="J209">
        <v>295</v>
      </c>
      <c r="K209" s="1" t="s">
        <v>24</v>
      </c>
      <c r="L209" s="1" t="s">
        <v>25</v>
      </c>
      <c r="M209">
        <v>560100</v>
      </c>
      <c r="N209" s="1" t="s">
        <v>19</v>
      </c>
    </row>
    <row r="210" spans="1:14" x14ac:dyDescent="0.3">
      <c r="A210">
        <v>64961113</v>
      </c>
      <c r="B210" s="1" t="s">
        <v>23</v>
      </c>
      <c r="C210" s="1" t="s">
        <v>26</v>
      </c>
      <c r="D210" s="1" t="s">
        <v>27</v>
      </c>
      <c r="E210" s="1" t="s">
        <v>21</v>
      </c>
      <c r="F210" s="1" t="s">
        <v>28</v>
      </c>
      <c r="G210" s="1" t="s">
        <v>23</v>
      </c>
      <c r="H210">
        <v>1</v>
      </c>
      <c r="I210" s="1" t="s">
        <v>16</v>
      </c>
      <c r="J210">
        <v>442</v>
      </c>
      <c r="K210" s="1" t="s">
        <v>171</v>
      </c>
      <c r="L210" s="1" t="s">
        <v>25</v>
      </c>
      <c r="M210">
        <v>576104</v>
      </c>
      <c r="N210" s="1" t="s">
        <v>19</v>
      </c>
    </row>
    <row r="211" spans="1:14" x14ac:dyDescent="0.3">
      <c r="A211">
        <v>80029904</v>
      </c>
      <c r="B211" s="1" t="s">
        <v>23</v>
      </c>
      <c r="C211" s="1" t="s">
        <v>26</v>
      </c>
      <c r="D211" s="1" t="s">
        <v>27</v>
      </c>
      <c r="E211" s="1" t="s">
        <v>13</v>
      </c>
      <c r="F211" s="1" t="s">
        <v>31</v>
      </c>
      <c r="G211" s="1" t="s">
        <v>23</v>
      </c>
      <c r="H211">
        <v>1</v>
      </c>
      <c r="I211" s="1" t="s">
        <v>16</v>
      </c>
      <c r="J211">
        <v>563</v>
      </c>
      <c r="K211" s="1" t="s">
        <v>172</v>
      </c>
      <c r="L211" s="1" t="s">
        <v>59</v>
      </c>
      <c r="M211">
        <v>785634</v>
      </c>
      <c r="N211" s="1" t="s">
        <v>19</v>
      </c>
    </row>
    <row r="212" spans="1:14" x14ac:dyDescent="0.3">
      <c r="A212">
        <v>60740318</v>
      </c>
      <c r="B212" s="1" t="s">
        <v>23</v>
      </c>
      <c r="C212" s="1" t="s">
        <v>26</v>
      </c>
      <c r="D212" s="1" t="s">
        <v>27</v>
      </c>
      <c r="E212" s="1" t="s">
        <v>21</v>
      </c>
      <c r="F212" s="1" t="s">
        <v>31</v>
      </c>
      <c r="G212" s="1" t="s">
        <v>23</v>
      </c>
      <c r="H212">
        <v>1</v>
      </c>
      <c r="I212" s="1" t="s">
        <v>16</v>
      </c>
      <c r="J212">
        <v>435</v>
      </c>
      <c r="K212" s="1" t="s">
        <v>51</v>
      </c>
      <c r="L212" s="1" t="s">
        <v>52</v>
      </c>
      <c r="M212">
        <v>110075</v>
      </c>
      <c r="N212" s="1" t="s">
        <v>19</v>
      </c>
    </row>
    <row r="213" spans="1:14" x14ac:dyDescent="0.3">
      <c r="A213">
        <v>52254703</v>
      </c>
      <c r="B213" s="1" t="s">
        <v>23</v>
      </c>
      <c r="C213" s="1" t="s">
        <v>26</v>
      </c>
      <c r="D213" s="1" t="s">
        <v>27</v>
      </c>
      <c r="E213" s="1" t="s">
        <v>13</v>
      </c>
      <c r="F213" s="1" t="s">
        <v>56</v>
      </c>
      <c r="G213" s="1" t="s">
        <v>23</v>
      </c>
      <c r="H213">
        <v>1</v>
      </c>
      <c r="I213" s="1" t="s">
        <v>16</v>
      </c>
      <c r="J213">
        <v>563</v>
      </c>
      <c r="K213" s="1" t="s">
        <v>149</v>
      </c>
      <c r="L213" s="1" t="s">
        <v>25</v>
      </c>
      <c r="M213">
        <v>575006</v>
      </c>
      <c r="N213" s="1" t="s">
        <v>19</v>
      </c>
    </row>
    <row r="214" spans="1:14" x14ac:dyDescent="0.3">
      <c r="A214">
        <v>7411567</v>
      </c>
      <c r="B214" s="1" t="s">
        <v>23</v>
      </c>
      <c r="C214" s="1" t="s">
        <v>26</v>
      </c>
      <c r="D214" s="1" t="s">
        <v>27</v>
      </c>
      <c r="E214" s="1" t="s">
        <v>21</v>
      </c>
      <c r="F214" s="1" t="s">
        <v>43</v>
      </c>
      <c r="G214" s="1" t="s">
        <v>23</v>
      </c>
      <c r="H214">
        <v>1</v>
      </c>
      <c r="I214" s="1" t="s">
        <v>16</v>
      </c>
      <c r="J214">
        <v>399</v>
      </c>
      <c r="K214" s="1" t="s">
        <v>161</v>
      </c>
      <c r="L214" s="1" t="s">
        <v>93</v>
      </c>
      <c r="M214">
        <v>380022</v>
      </c>
      <c r="N214" s="1" t="s">
        <v>19</v>
      </c>
    </row>
    <row r="215" spans="1:14" x14ac:dyDescent="0.3">
      <c r="A215">
        <v>39849959</v>
      </c>
      <c r="B215" s="1" t="s">
        <v>23</v>
      </c>
      <c r="C215" s="1" t="s">
        <v>26</v>
      </c>
      <c r="D215" s="1" t="s">
        <v>27</v>
      </c>
      <c r="E215" s="1" t="s">
        <v>13</v>
      </c>
      <c r="F215" s="1" t="s">
        <v>41</v>
      </c>
      <c r="G215" s="1" t="s">
        <v>23</v>
      </c>
      <c r="H215">
        <v>1</v>
      </c>
      <c r="I215" s="1" t="s">
        <v>16</v>
      </c>
      <c r="J215">
        <v>1338</v>
      </c>
      <c r="K215" s="1" t="s">
        <v>79</v>
      </c>
      <c r="L215" s="1" t="s">
        <v>80</v>
      </c>
      <c r="M215">
        <v>700051</v>
      </c>
      <c r="N215" s="1" t="s">
        <v>19</v>
      </c>
    </row>
    <row r="216" spans="1:14" x14ac:dyDescent="0.3">
      <c r="A216">
        <v>18855508</v>
      </c>
      <c r="B216" s="1" t="s">
        <v>173</v>
      </c>
      <c r="C216" s="1" t="s">
        <v>11</v>
      </c>
      <c r="D216" s="1" t="s">
        <v>12</v>
      </c>
      <c r="E216" s="1" t="s">
        <v>13</v>
      </c>
      <c r="F216" s="1" t="s">
        <v>43</v>
      </c>
      <c r="G216" s="1" t="s">
        <v>23</v>
      </c>
      <c r="H216">
        <v>1</v>
      </c>
      <c r="I216" s="1" t="s">
        <v>16</v>
      </c>
      <c r="J216">
        <v>1115</v>
      </c>
      <c r="K216" s="1" t="s">
        <v>174</v>
      </c>
      <c r="L216" s="1" t="s">
        <v>80</v>
      </c>
      <c r="M216">
        <v>736101</v>
      </c>
      <c r="N216" s="1" t="s">
        <v>19</v>
      </c>
    </row>
    <row r="217" spans="1:14" x14ac:dyDescent="0.3">
      <c r="A217">
        <v>30591557</v>
      </c>
      <c r="B217" s="1" t="s">
        <v>23</v>
      </c>
      <c r="C217" s="1" t="s">
        <v>26</v>
      </c>
      <c r="D217" s="1" t="s">
        <v>27</v>
      </c>
      <c r="E217" s="1" t="s">
        <v>21</v>
      </c>
      <c r="F217" s="1" t="s">
        <v>28</v>
      </c>
      <c r="G217" s="1" t="s">
        <v>23</v>
      </c>
      <c r="H217">
        <v>1</v>
      </c>
      <c r="I217" s="1" t="s">
        <v>16</v>
      </c>
      <c r="J217">
        <v>399</v>
      </c>
      <c r="K217" s="1" t="s">
        <v>24</v>
      </c>
      <c r="L217" s="1" t="s">
        <v>25</v>
      </c>
      <c r="M217">
        <v>560029</v>
      </c>
      <c r="N217" s="1" t="s">
        <v>19</v>
      </c>
    </row>
    <row r="218" spans="1:14" x14ac:dyDescent="0.3">
      <c r="A218">
        <v>3898703</v>
      </c>
      <c r="B218" s="1" t="s">
        <v>20</v>
      </c>
      <c r="C218" s="1" t="s">
        <v>11</v>
      </c>
      <c r="D218" s="1" t="s">
        <v>12</v>
      </c>
      <c r="E218" s="1" t="s">
        <v>13</v>
      </c>
      <c r="F218" s="1" t="s">
        <v>14</v>
      </c>
      <c r="G218" s="1" t="s">
        <v>23</v>
      </c>
      <c r="H218">
        <v>1</v>
      </c>
      <c r="I218" s="1" t="s">
        <v>16</v>
      </c>
      <c r="J218">
        <v>499</v>
      </c>
      <c r="K218" s="1" t="s">
        <v>65</v>
      </c>
      <c r="L218" s="1" t="s">
        <v>18</v>
      </c>
      <c r="M218">
        <v>411037</v>
      </c>
      <c r="N218" s="1" t="s">
        <v>19</v>
      </c>
    </row>
    <row r="219" spans="1:14" x14ac:dyDescent="0.3">
      <c r="A219">
        <v>66520337</v>
      </c>
      <c r="B219" s="1" t="s">
        <v>20</v>
      </c>
      <c r="C219" s="1" t="s">
        <v>11</v>
      </c>
      <c r="D219" s="1" t="s">
        <v>12</v>
      </c>
      <c r="E219" s="1" t="s">
        <v>30</v>
      </c>
      <c r="F219" s="1" t="s">
        <v>56</v>
      </c>
      <c r="G219" s="1" t="s">
        <v>23</v>
      </c>
      <c r="H219">
        <v>1</v>
      </c>
      <c r="I219" s="1" t="s">
        <v>16</v>
      </c>
      <c r="J219">
        <v>791</v>
      </c>
      <c r="K219" s="1" t="s">
        <v>99</v>
      </c>
      <c r="L219" s="1" t="s">
        <v>100</v>
      </c>
      <c r="M219">
        <v>248009</v>
      </c>
      <c r="N219" s="1" t="s">
        <v>19</v>
      </c>
    </row>
    <row r="220" spans="1:14" x14ac:dyDescent="0.3">
      <c r="A220">
        <v>78788352</v>
      </c>
      <c r="B220" s="1" t="s">
        <v>23</v>
      </c>
      <c r="C220" s="1" t="s">
        <v>26</v>
      </c>
      <c r="D220" s="1" t="s">
        <v>27</v>
      </c>
      <c r="E220" s="1" t="s">
        <v>30</v>
      </c>
      <c r="F220" s="1" t="s">
        <v>56</v>
      </c>
      <c r="G220" s="1" t="s">
        <v>23</v>
      </c>
      <c r="H220">
        <v>1</v>
      </c>
      <c r="I220" s="1" t="s">
        <v>16</v>
      </c>
      <c r="J220">
        <v>725</v>
      </c>
      <c r="K220" s="1" t="s">
        <v>168</v>
      </c>
      <c r="L220" s="1" t="s">
        <v>106</v>
      </c>
      <c r="M220">
        <v>823001</v>
      </c>
      <c r="N220" s="1" t="s">
        <v>19</v>
      </c>
    </row>
    <row r="221" spans="1:14" x14ac:dyDescent="0.3">
      <c r="A221">
        <v>2816329</v>
      </c>
      <c r="B221" s="1" t="s">
        <v>10</v>
      </c>
      <c r="C221" s="1" t="s">
        <v>11</v>
      </c>
      <c r="D221" s="1" t="s">
        <v>12</v>
      </c>
      <c r="E221" s="1" t="s">
        <v>13</v>
      </c>
      <c r="F221" s="1" t="s">
        <v>56</v>
      </c>
      <c r="G221" s="1" t="s">
        <v>15</v>
      </c>
      <c r="H221">
        <v>2</v>
      </c>
      <c r="I221" s="1" t="s">
        <v>16</v>
      </c>
      <c r="J221">
        <v>1279</v>
      </c>
      <c r="K221" s="1" t="s">
        <v>175</v>
      </c>
      <c r="L221" s="1" t="s">
        <v>61</v>
      </c>
      <c r="M221">
        <v>828111</v>
      </c>
      <c r="N221" s="1" t="s">
        <v>19</v>
      </c>
    </row>
    <row r="222" spans="1:14" x14ac:dyDescent="0.3">
      <c r="A222">
        <v>8661921</v>
      </c>
      <c r="B222" s="1" t="s">
        <v>23</v>
      </c>
      <c r="C222" s="1" t="s">
        <v>26</v>
      </c>
      <c r="D222" s="1" t="s">
        <v>27</v>
      </c>
      <c r="E222" s="1" t="s">
        <v>13</v>
      </c>
      <c r="F222" s="1" t="s">
        <v>28</v>
      </c>
      <c r="G222" s="1" t="s">
        <v>23</v>
      </c>
      <c r="H222">
        <v>1</v>
      </c>
      <c r="I222" s="1" t="s">
        <v>16</v>
      </c>
      <c r="J222">
        <v>1099</v>
      </c>
      <c r="K222" s="1" t="s">
        <v>79</v>
      </c>
      <c r="L222" s="1" t="s">
        <v>80</v>
      </c>
      <c r="M222">
        <v>700070</v>
      </c>
      <c r="N222" s="1" t="s">
        <v>19</v>
      </c>
    </row>
    <row r="223" spans="1:14" x14ac:dyDescent="0.3">
      <c r="A223">
        <v>41601126</v>
      </c>
      <c r="B223" s="1" t="s">
        <v>20</v>
      </c>
      <c r="C223" s="1" t="s">
        <v>11</v>
      </c>
      <c r="D223" s="1" t="s">
        <v>12</v>
      </c>
      <c r="E223" s="1" t="s">
        <v>21</v>
      </c>
      <c r="F223" s="1" t="s">
        <v>28</v>
      </c>
      <c r="G223" s="1" t="s">
        <v>23</v>
      </c>
      <c r="H223">
        <v>1</v>
      </c>
      <c r="I223" s="1" t="s">
        <v>16</v>
      </c>
      <c r="J223">
        <v>533</v>
      </c>
      <c r="K223" s="1" t="s">
        <v>176</v>
      </c>
      <c r="L223" s="1" t="s">
        <v>40</v>
      </c>
      <c r="M223">
        <v>500010</v>
      </c>
      <c r="N223" s="1" t="s">
        <v>19</v>
      </c>
    </row>
    <row r="224" spans="1:14" x14ac:dyDescent="0.3">
      <c r="A224">
        <v>94122733</v>
      </c>
      <c r="B224" s="1" t="s">
        <v>23</v>
      </c>
      <c r="C224" s="1" t="s">
        <v>26</v>
      </c>
      <c r="D224" s="1" t="s">
        <v>27</v>
      </c>
      <c r="E224" s="1" t="s">
        <v>21</v>
      </c>
      <c r="F224" s="1" t="s">
        <v>177</v>
      </c>
      <c r="G224" s="1" t="s">
        <v>23</v>
      </c>
      <c r="H224">
        <v>1</v>
      </c>
      <c r="I224" s="1" t="s">
        <v>16</v>
      </c>
      <c r="J224">
        <v>696</v>
      </c>
      <c r="K224" s="1" t="s">
        <v>178</v>
      </c>
      <c r="L224" s="1" t="s">
        <v>50</v>
      </c>
      <c r="M224">
        <v>313001</v>
      </c>
      <c r="N224" s="1" t="s">
        <v>19</v>
      </c>
    </row>
    <row r="225" spans="1:14" x14ac:dyDescent="0.3">
      <c r="A225">
        <v>65486768</v>
      </c>
      <c r="B225" s="1" t="s">
        <v>23</v>
      </c>
      <c r="C225" s="1" t="s">
        <v>26</v>
      </c>
      <c r="D225" s="1" t="s">
        <v>27</v>
      </c>
      <c r="E225" s="1" t="s">
        <v>21</v>
      </c>
      <c r="F225" s="1" t="s">
        <v>56</v>
      </c>
      <c r="G225" s="1" t="s">
        <v>23</v>
      </c>
      <c r="H225">
        <v>1</v>
      </c>
      <c r="I225" s="1" t="s">
        <v>16</v>
      </c>
      <c r="J225">
        <v>363</v>
      </c>
      <c r="K225" s="1" t="s">
        <v>127</v>
      </c>
      <c r="L225" s="1" t="s">
        <v>35</v>
      </c>
      <c r="M225">
        <v>641030</v>
      </c>
      <c r="N225" s="1" t="s">
        <v>19</v>
      </c>
    </row>
    <row r="226" spans="1:14" x14ac:dyDescent="0.3">
      <c r="A226">
        <v>31507525</v>
      </c>
      <c r="B226" s="1" t="s">
        <v>23</v>
      </c>
      <c r="C226" s="1" t="s">
        <v>26</v>
      </c>
      <c r="D226" s="1" t="s">
        <v>27</v>
      </c>
      <c r="E226" s="1" t="s">
        <v>13</v>
      </c>
      <c r="F226" s="1" t="s">
        <v>31</v>
      </c>
      <c r="G226" s="1" t="s">
        <v>23</v>
      </c>
      <c r="H226">
        <v>1</v>
      </c>
      <c r="I226" s="1" t="s">
        <v>16</v>
      </c>
      <c r="J226">
        <v>631</v>
      </c>
      <c r="K226" s="1" t="s">
        <v>162</v>
      </c>
      <c r="L226" s="1" t="s">
        <v>71</v>
      </c>
      <c r="M226">
        <v>751006</v>
      </c>
      <c r="N226" s="1" t="s">
        <v>19</v>
      </c>
    </row>
    <row r="227" spans="1:14" x14ac:dyDescent="0.3">
      <c r="A227">
        <v>66656309</v>
      </c>
      <c r="B227" s="1" t="s">
        <v>23</v>
      </c>
      <c r="C227" s="1" t="s">
        <v>26</v>
      </c>
      <c r="D227" s="1" t="s">
        <v>27</v>
      </c>
      <c r="E227" s="1" t="s">
        <v>13</v>
      </c>
      <c r="F227" s="1" t="s">
        <v>22</v>
      </c>
      <c r="G227" s="1" t="s">
        <v>23</v>
      </c>
      <c r="H227">
        <v>1</v>
      </c>
      <c r="I227" s="1" t="s">
        <v>16</v>
      </c>
      <c r="J227">
        <v>1115</v>
      </c>
      <c r="K227" s="1" t="s">
        <v>179</v>
      </c>
      <c r="L227" s="1" t="s">
        <v>106</v>
      </c>
      <c r="M227">
        <v>812003</v>
      </c>
      <c r="N227" s="1" t="s">
        <v>19</v>
      </c>
    </row>
    <row r="228" spans="1:14" x14ac:dyDescent="0.3">
      <c r="A228">
        <v>48040337</v>
      </c>
      <c r="B228" s="1" t="s">
        <v>23</v>
      </c>
      <c r="C228" s="1" t="s">
        <v>26</v>
      </c>
      <c r="D228" s="1" t="s">
        <v>27</v>
      </c>
      <c r="E228" s="1" t="s">
        <v>21</v>
      </c>
      <c r="F228" s="1" t="s">
        <v>41</v>
      </c>
      <c r="G228" s="1" t="s">
        <v>23</v>
      </c>
      <c r="H228">
        <v>1</v>
      </c>
      <c r="I228" s="1" t="s">
        <v>16</v>
      </c>
      <c r="J228">
        <v>486</v>
      </c>
      <c r="K228" s="1" t="s">
        <v>91</v>
      </c>
      <c r="L228" s="1" t="s">
        <v>18</v>
      </c>
      <c r="M228">
        <v>440036</v>
      </c>
      <c r="N228" s="1" t="s">
        <v>19</v>
      </c>
    </row>
    <row r="229" spans="1:14" x14ac:dyDescent="0.3">
      <c r="A229">
        <v>66413920</v>
      </c>
      <c r="B229" s="1" t="s">
        <v>20</v>
      </c>
      <c r="C229" s="1" t="s">
        <v>11</v>
      </c>
      <c r="D229" s="1" t="s">
        <v>12</v>
      </c>
      <c r="E229" s="1" t="s">
        <v>13</v>
      </c>
      <c r="F229" s="1" t="s">
        <v>22</v>
      </c>
      <c r="G229" s="1" t="s">
        <v>23</v>
      </c>
      <c r="H229">
        <v>1</v>
      </c>
      <c r="I229" s="1" t="s">
        <v>16</v>
      </c>
      <c r="J229">
        <v>563</v>
      </c>
      <c r="K229" s="1" t="s">
        <v>91</v>
      </c>
      <c r="L229" s="1" t="s">
        <v>18</v>
      </c>
      <c r="M229">
        <v>440036</v>
      </c>
      <c r="N229" s="1" t="s">
        <v>19</v>
      </c>
    </row>
    <row r="230" spans="1:14" x14ac:dyDescent="0.3">
      <c r="A230">
        <v>82006729</v>
      </c>
      <c r="B230" s="1" t="s">
        <v>23</v>
      </c>
      <c r="C230" s="1" t="s">
        <v>26</v>
      </c>
      <c r="D230" s="1" t="s">
        <v>27</v>
      </c>
      <c r="E230" s="1" t="s">
        <v>13</v>
      </c>
      <c r="F230" s="1" t="s">
        <v>31</v>
      </c>
      <c r="G230" s="1" t="s">
        <v>23</v>
      </c>
      <c r="H230">
        <v>1</v>
      </c>
      <c r="I230" s="1" t="s">
        <v>16</v>
      </c>
      <c r="J230">
        <v>597</v>
      </c>
      <c r="K230" s="1" t="s">
        <v>34</v>
      </c>
      <c r="L230" s="1" t="s">
        <v>35</v>
      </c>
      <c r="M230">
        <v>600096</v>
      </c>
      <c r="N230" s="1" t="s">
        <v>19</v>
      </c>
    </row>
    <row r="231" spans="1:14" x14ac:dyDescent="0.3">
      <c r="A231">
        <v>71927553</v>
      </c>
      <c r="B231" s="1" t="s">
        <v>20</v>
      </c>
      <c r="C231" s="1" t="s">
        <v>11</v>
      </c>
      <c r="D231" s="1" t="s">
        <v>12</v>
      </c>
      <c r="E231" s="1" t="s">
        <v>21</v>
      </c>
      <c r="F231" s="1" t="s">
        <v>41</v>
      </c>
      <c r="G231" s="1" t="s">
        <v>23</v>
      </c>
      <c r="H231">
        <v>1</v>
      </c>
      <c r="I231" s="1" t="s">
        <v>16</v>
      </c>
      <c r="J231">
        <v>458</v>
      </c>
      <c r="K231" s="1" t="s">
        <v>180</v>
      </c>
      <c r="L231" s="1" t="s">
        <v>80</v>
      </c>
      <c r="M231">
        <v>742103</v>
      </c>
      <c r="N231" s="1" t="s">
        <v>19</v>
      </c>
    </row>
    <row r="232" spans="1:14" x14ac:dyDescent="0.3">
      <c r="A232">
        <v>23646748</v>
      </c>
      <c r="B232" s="1" t="s">
        <v>23</v>
      </c>
      <c r="C232" s="1" t="s">
        <v>26</v>
      </c>
      <c r="D232" s="1" t="s">
        <v>27</v>
      </c>
      <c r="E232" s="1" t="s">
        <v>13</v>
      </c>
      <c r="F232" s="1" t="s">
        <v>14</v>
      </c>
      <c r="G232" s="1" t="s">
        <v>23</v>
      </c>
      <c r="H232">
        <v>1</v>
      </c>
      <c r="I232" s="1" t="s">
        <v>16</v>
      </c>
      <c r="J232">
        <v>1065</v>
      </c>
      <c r="K232" s="1" t="s">
        <v>181</v>
      </c>
      <c r="L232" s="1" t="s">
        <v>100</v>
      </c>
      <c r="M232">
        <v>248001</v>
      </c>
      <c r="N232" s="1" t="s">
        <v>19</v>
      </c>
    </row>
    <row r="233" spans="1:14" x14ac:dyDescent="0.3">
      <c r="A233">
        <v>6440356</v>
      </c>
      <c r="B233" s="1" t="s">
        <v>23</v>
      </c>
      <c r="C233" s="1" t="s">
        <v>26</v>
      </c>
      <c r="D233" s="1" t="s">
        <v>27</v>
      </c>
      <c r="E233" s="1" t="s">
        <v>13</v>
      </c>
      <c r="F233" s="1" t="s">
        <v>41</v>
      </c>
      <c r="G233" s="1" t="s">
        <v>23</v>
      </c>
      <c r="H233">
        <v>2</v>
      </c>
      <c r="I233" s="1" t="s">
        <v>16</v>
      </c>
      <c r="J233">
        <v>2130</v>
      </c>
      <c r="K233" s="1" t="s">
        <v>17</v>
      </c>
      <c r="L233" s="1" t="s">
        <v>18</v>
      </c>
      <c r="M233">
        <v>400101</v>
      </c>
      <c r="N233" s="1" t="s">
        <v>19</v>
      </c>
    </row>
    <row r="234" spans="1:14" x14ac:dyDescent="0.3">
      <c r="A234">
        <v>88864335</v>
      </c>
      <c r="B234" s="1" t="s">
        <v>20</v>
      </c>
      <c r="C234" s="1" t="s">
        <v>11</v>
      </c>
      <c r="D234" s="1" t="s">
        <v>12</v>
      </c>
      <c r="E234" s="1" t="s">
        <v>13</v>
      </c>
      <c r="F234" s="1" t="s">
        <v>41</v>
      </c>
      <c r="G234" s="1" t="s">
        <v>23</v>
      </c>
      <c r="H234">
        <v>1</v>
      </c>
      <c r="I234" s="1" t="s">
        <v>16</v>
      </c>
      <c r="J234">
        <v>1099</v>
      </c>
      <c r="K234" s="1" t="s">
        <v>17</v>
      </c>
      <c r="L234" s="1" t="s">
        <v>18</v>
      </c>
      <c r="M234">
        <v>400101</v>
      </c>
      <c r="N234" s="1" t="s">
        <v>19</v>
      </c>
    </row>
    <row r="235" spans="1:14" x14ac:dyDescent="0.3">
      <c r="A235">
        <v>20900371</v>
      </c>
      <c r="B235" s="1" t="s">
        <v>23</v>
      </c>
      <c r="C235" s="1" t="s">
        <v>26</v>
      </c>
      <c r="D235" s="1" t="s">
        <v>27</v>
      </c>
      <c r="E235" s="1" t="s">
        <v>30</v>
      </c>
      <c r="F235" s="1" t="s">
        <v>14</v>
      </c>
      <c r="G235" s="1" t="s">
        <v>23</v>
      </c>
      <c r="H235">
        <v>1</v>
      </c>
      <c r="I235" s="1" t="s">
        <v>16</v>
      </c>
      <c r="J235">
        <v>721</v>
      </c>
      <c r="K235" s="1" t="s">
        <v>182</v>
      </c>
      <c r="L235" s="1" t="s">
        <v>78</v>
      </c>
      <c r="M235">
        <v>480661</v>
      </c>
      <c r="N235" s="1" t="s">
        <v>19</v>
      </c>
    </row>
    <row r="236" spans="1:14" x14ac:dyDescent="0.3">
      <c r="A236">
        <v>25493964</v>
      </c>
      <c r="B236" s="1" t="s">
        <v>23</v>
      </c>
      <c r="C236" s="1" t="s">
        <v>26</v>
      </c>
      <c r="D236" s="1" t="s">
        <v>27</v>
      </c>
      <c r="E236" s="1" t="s">
        <v>13</v>
      </c>
      <c r="F236" s="1" t="s">
        <v>28</v>
      </c>
      <c r="G236" s="1" t="s">
        <v>23</v>
      </c>
      <c r="H236">
        <v>1</v>
      </c>
      <c r="I236" s="1" t="s">
        <v>16</v>
      </c>
      <c r="J236">
        <v>968</v>
      </c>
      <c r="K236" s="1" t="s">
        <v>183</v>
      </c>
      <c r="L236" s="1" t="s">
        <v>37</v>
      </c>
      <c r="M236">
        <v>282002</v>
      </c>
      <c r="N236" s="1" t="s">
        <v>19</v>
      </c>
    </row>
    <row r="237" spans="1:14" x14ac:dyDescent="0.3">
      <c r="A237">
        <v>40889137</v>
      </c>
      <c r="B237" s="1" t="s">
        <v>23</v>
      </c>
      <c r="C237" s="1" t="s">
        <v>26</v>
      </c>
      <c r="D237" s="1" t="s">
        <v>27</v>
      </c>
      <c r="E237" s="1" t="s">
        <v>13</v>
      </c>
      <c r="F237" s="1" t="s">
        <v>41</v>
      </c>
      <c r="G237" s="1" t="s">
        <v>23</v>
      </c>
      <c r="H237">
        <v>1</v>
      </c>
      <c r="I237" s="1" t="s">
        <v>16</v>
      </c>
      <c r="J237">
        <v>563</v>
      </c>
      <c r="K237" s="1" t="s">
        <v>68</v>
      </c>
      <c r="L237" s="1" t="s">
        <v>37</v>
      </c>
      <c r="M237">
        <v>226029</v>
      </c>
      <c r="N237" s="1" t="s">
        <v>19</v>
      </c>
    </row>
    <row r="238" spans="1:14" x14ac:dyDescent="0.3">
      <c r="A238">
        <v>12143569</v>
      </c>
      <c r="B238" s="1" t="s">
        <v>10</v>
      </c>
      <c r="C238" s="1" t="s">
        <v>11</v>
      </c>
      <c r="D238" s="1" t="s">
        <v>12</v>
      </c>
      <c r="E238" s="1" t="s">
        <v>13</v>
      </c>
      <c r="F238" s="1" t="s">
        <v>14</v>
      </c>
      <c r="G238" s="1" t="s">
        <v>15</v>
      </c>
      <c r="H238">
        <v>2</v>
      </c>
      <c r="I238" s="1" t="s">
        <v>16</v>
      </c>
      <c r="J238">
        <v>996</v>
      </c>
      <c r="K238" s="1" t="s">
        <v>24</v>
      </c>
      <c r="L238" s="1" t="s">
        <v>25</v>
      </c>
      <c r="M238">
        <v>560067</v>
      </c>
      <c r="N238" s="1" t="s">
        <v>19</v>
      </c>
    </row>
    <row r="239" spans="1:14" x14ac:dyDescent="0.3">
      <c r="A239">
        <v>32725136</v>
      </c>
      <c r="B239" s="1" t="s">
        <v>23</v>
      </c>
      <c r="C239" s="1" t="s">
        <v>26</v>
      </c>
      <c r="D239" s="1" t="s">
        <v>27</v>
      </c>
      <c r="E239" s="1" t="s">
        <v>13</v>
      </c>
      <c r="F239" s="1" t="s">
        <v>14</v>
      </c>
      <c r="G239" s="1" t="s">
        <v>23</v>
      </c>
      <c r="H239">
        <v>1</v>
      </c>
      <c r="I239" s="1" t="s">
        <v>16</v>
      </c>
      <c r="J239">
        <v>682</v>
      </c>
      <c r="K239" s="1" t="s">
        <v>36</v>
      </c>
      <c r="L239" s="1" t="s">
        <v>37</v>
      </c>
      <c r="M239">
        <v>201012</v>
      </c>
      <c r="N239" s="1" t="s">
        <v>19</v>
      </c>
    </row>
    <row r="240" spans="1:14" x14ac:dyDescent="0.3">
      <c r="A240">
        <v>65412325</v>
      </c>
      <c r="B240" s="1" t="s">
        <v>23</v>
      </c>
      <c r="C240" s="1" t="s">
        <v>26</v>
      </c>
      <c r="D240" s="1" t="s">
        <v>27</v>
      </c>
      <c r="E240" s="1" t="s">
        <v>21</v>
      </c>
      <c r="F240" s="1" t="s">
        <v>28</v>
      </c>
      <c r="G240" s="1" t="s">
        <v>23</v>
      </c>
      <c r="H240">
        <v>1</v>
      </c>
      <c r="I240" s="1" t="s">
        <v>16</v>
      </c>
      <c r="J240">
        <v>399</v>
      </c>
      <c r="K240" s="1" t="s">
        <v>184</v>
      </c>
      <c r="L240" s="1" t="s">
        <v>125</v>
      </c>
      <c r="M240">
        <v>172023</v>
      </c>
      <c r="N240" s="1" t="s">
        <v>19</v>
      </c>
    </row>
    <row r="241" spans="1:14" x14ac:dyDescent="0.3">
      <c r="A241">
        <v>46990731</v>
      </c>
      <c r="B241" s="1" t="s">
        <v>23</v>
      </c>
      <c r="C241" s="1" t="s">
        <v>26</v>
      </c>
      <c r="D241" s="1" t="s">
        <v>27</v>
      </c>
      <c r="E241" s="1" t="s">
        <v>13</v>
      </c>
      <c r="F241" s="1" t="s">
        <v>56</v>
      </c>
      <c r="G241" s="1" t="s">
        <v>23</v>
      </c>
      <c r="H241">
        <v>1</v>
      </c>
      <c r="I241" s="1" t="s">
        <v>16</v>
      </c>
      <c r="J241">
        <v>626</v>
      </c>
      <c r="K241" s="1" t="s">
        <v>34</v>
      </c>
      <c r="L241" s="1" t="s">
        <v>35</v>
      </c>
      <c r="M241">
        <v>600010</v>
      </c>
      <c r="N241" s="1" t="s">
        <v>19</v>
      </c>
    </row>
    <row r="242" spans="1:14" x14ac:dyDescent="0.3">
      <c r="A242">
        <v>69869933</v>
      </c>
      <c r="B242" s="1" t="s">
        <v>23</v>
      </c>
      <c r="C242" s="1" t="s">
        <v>26</v>
      </c>
      <c r="D242" s="1" t="s">
        <v>27</v>
      </c>
      <c r="E242" s="1" t="s">
        <v>13</v>
      </c>
      <c r="F242" s="1" t="s">
        <v>56</v>
      </c>
      <c r="G242" s="1" t="s">
        <v>23</v>
      </c>
      <c r="H242">
        <v>1</v>
      </c>
      <c r="I242" s="1" t="s">
        <v>16</v>
      </c>
      <c r="J242">
        <v>1140</v>
      </c>
      <c r="K242" s="1" t="s">
        <v>185</v>
      </c>
      <c r="L242" s="1" t="s">
        <v>40</v>
      </c>
      <c r="M242">
        <v>503111</v>
      </c>
      <c r="N242" s="1" t="s">
        <v>19</v>
      </c>
    </row>
    <row r="243" spans="1:14" x14ac:dyDescent="0.3">
      <c r="A243">
        <v>39423561</v>
      </c>
      <c r="B243" s="1" t="s">
        <v>23</v>
      </c>
      <c r="C243" s="1" t="s">
        <v>26</v>
      </c>
      <c r="D243" s="1" t="s">
        <v>27</v>
      </c>
      <c r="E243" s="1" t="s">
        <v>21</v>
      </c>
      <c r="F243" s="1" t="s">
        <v>56</v>
      </c>
      <c r="G243" s="1" t="s">
        <v>23</v>
      </c>
      <c r="H243">
        <v>1</v>
      </c>
      <c r="I243" s="1" t="s">
        <v>16</v>
      </c>
      <c r="J243">
        <v>486</v>
      </c>
      <c r="K243" s="1" t="s">
        <v>186</v>
      </c>
      <c r="L243" s="1" t="s">
        <v>108</v>
      </c>
      <c r="M243">
        <v>190015</v>
      </c>
      <c r="N243" s="1" t="s">
        <v>19</v>
      </c>
    </row>
    <row r="244" spans="1:14" x14ac:dyDescent="0.3">
      <c r="A244">
        <v>68495534</v>
      </c>
      <c r="B244" s="1" t="s">
        <v>23</v>
      </c>
      <c r="C244" s="1" t="s">
        <v>26</v>
      </c>
      <c r="D244" s="1" t="s">
        <v>27</v>
      </c>
      <c r="E244" s="1" t="s">
        <v>13</v>
      </c>
      <c r="F244" s="1" t="s">
        <v>43</v>
      </c>
      <c r="G244" s="1" t="s">
        <v>23</v>
      </c>
      <c r="H244">
        <v>1</v>
      </c>
      <c r="I244" s="1" t="s">
        <v>16</v>
      </c>
      <c r="J244">
        <v>597</v>
      </c>
      <c r="K244" s="1" t="s">
        <v>24</v>
      </c>
      <c r="L244" s="1" t="s">
        <v>25</v>
      </c>
      <c r="M244">
        <v>560042</v>
      </c>
      <c r="N244" s="1" t="s">
        <v>19</v>
      </c>
    </row>
    <row r="245" spans="1:14" x14ac:dyDescent="0.3">
      <c r="A245">
        <v>26193128</v>
      </c>
      <c r="B245" s="1" t="s">
        <v>23</v>
      </c>
      <c r="C245" s="1" t="s">
        <v>26</v>
      </c>
      <c r="D245" s="1" t="s">
        <v>27</v>
      </c>
      <c r="E245" s="1" t="s">
        <v>21</v>
      </c>
      <c r="F245" s="1" t="s">
        <v>28</v>
      </c>
      <c r="G245" s="1" t="s">
        <v>23</v>
      </c>
      <c r="H245">
        <v>1</v>
      </c>
      <c r="I245" s="1" t="s">
        <v>16</v>
      </c>
      <c r="J245">
        <v>399</v>
      </c>
      <c r="K245" s="1" t="s">
        <v>187</v>
      </c>
      <c r="L245" s="1" t="s">
        <v>25</v>
      </c>
      <c r="M245">
        <v>586212</v>
      </c>
      <c r="N245" s="1" t="s">
        <v>19</v>
      </c>
    </row>
    <row r="246" spans="1:14" x14ac:dyDescent="0.3">
      <c r="A246">
        <v>42709164</v>
      </c>
      <c r="B246" s="1" t="s">
        <v>23</v>
      </c>
      <c r="C246" s="1" t="s">
        <v>26</v>
      </c>
      <c r="D246" s="1" t="s">
        <v>27</v>
      </c>
      <c r="E246" s="1" t="s">
        <v>13</v>
      </c>
      <c r="F246" s="1" t="s">
        <v>56</v>
      </c>
      <c r="G246" s="1" t="s">
        <v>23</v>
      </c>
      <c r="H246">
        <v>1</v>
      </c>
      <c r="I246" s="1" t="s">
        <v>16</v>
      </c>
      <c r="J246">
        <v>660</v>
      </c>
      <c r="K246" s="1" t="s">
        <v>188</v>
      </c>
      <c r="L246" s="1" t="s">
        <v>48</v>
      </c>
      <c r="M246">
        <v>523302</v>
      </c>
      <c r="N246" s="1" t="s">
        <v>19</v>
      </c>
    </row>
    <row r="247" spans="1:14" x14ac:dyDescent="0.3">
      <c r="A247">
        <v>55387565</v>
      </c>
      <c r="B247" s="1" t="s">
        <v>23</v>
      </c>
      <c r="C247" s="1" t="s">
        <v>26</v>
      </c>
      <c r="D247" s="1" t="s">
        <v>27</v>
      </c>
      <c r="E247" s="1" t="s">
        <v>21</v>
      </c>
      <c r="F247" s="1" t="s">
        <v>28</v>
      </c>
      <c r="G247" s="1" t="s">
        <v>23</v>
      </c>
      <c r="H247">
        <v>1</v>
      </c>
      <c r="I247" s="1" t="s">
        <v>16</v>
      </c>
      <c r="J247">
        <v>459</v>
      </c>
      <c r="K247" s="1" t="s">
        <v>39</v>
      </c>
      <c r="L247" s="1" t="s">
        <v>40</v>
      </c>
      <c r="M247">
        <v>500058</v>
      </c>
      <c r="N247" s="1" t="s">
        <v>19</v>
      </c>
    </row>
    <row r="248" spans="1:14" x14ac:dyDescent="0.3">
      <c r="A248">
        <v>45045130</v>
      </c>
      <c r="B248" s="1" t="s">
        <v>23</v>
      </c>
      <c r="C248" s="1" t="s">
        <v>26</v>
      </c>
      <c r="D248" s="1" t="s">
        <v>27</v>
      </c>
      <c r="E248" s="1" t="s">
        <v>13</v>
      </c>
      <c r="F248" s="1" t="s">
        <v>43</v>
      </c>
      <c r="G248" s="1" t="s">
        <v>23</v>
      </c>
      <c r="H248">
        <v>1</v>
      </c>
      <c r="I248" s="1" t="s">
        <v>16</v>
      </c>
      <c r="J248">
        <v>631</v>
      </c>
      <c r="K248" s="1" t="s">
        <v>51</v>
      </c>
      <c r="L248" s="1" t="s">
        <v>52</v>
      </c>
      <c r="M248">
        <v>110045</v>
      </c>
      <c r="N248" s="1" t="s">
        <v>19</v>
      </c>
    </row>
    <row r="249" spans="1:14" x14ac:dyDescent="0.3">
      <c r="A249">
        <v>67217932</v>
      </c>
      <c r="B249" s="1" t="s">
        <v>20</v>
      </c>
      <c r="C249" s="1" t="s">
        <v>11</v>
      </c>
      <c r="D249" s="1" t="s">
        <v>12</v>
      </c>
      <c r="E249" s="1" t="s">
        <v>21</v>
      </c>
      <c r="F249" s="1" t="s">
        <v>56</v>
      </c>
      <c r="G249" s="1" t="s">
        <v>23</v>
      </c>
      <c r="H249">
        <v>1</v>
      </c>
      <c r="I249" s="1" t="s">
        <v>16</v>
      </c>
      <c r="J249">
        <v>459</v>
      </c>
      <c r="K249" s="1" t="s">
        <v>68</v>
      </c>
      <c r="L249" s="1" t="s">
        <v>37</v>
      </c>
      <c r="M249">
        <v>226010</v>
      </c>
      <c r="N249" s="1" t="s">
        <v>19</v>
      </c>
    </row>
    <row r="250" spans="1:14" x14ac:dyDescent="0.3">
      <c r="A250">
        <v>45449151</v>
      </c>
      <c r="B250" s="1" t="s">
        <v>10</v>
      </c>
      <c r="C250" s="1" t="s">
        <v>26</v>
      </c>
      <c r="D250" s="1" t="s">
        <v>27</v>
      </c>
      <c r="E250" s="1" t="s">
        <v>13</v>
      </c>
      <c r="F250" s="1" t="s">
        <v>43</v>
      </c>
      <c r="G250" s="1" t="s">
        <v>116</v>
      </c>
      <c r="H250">
        <v>1</v>
      </c>
      <c r="I250" s="1" t="s">
        <v>16</v>
      </c>
      <c r="J250">
        <v>597</v>
      </c>
      <c r="K250" s="1" t="s">
        <v>24</v>
      </c>
      <c r="L250" s="1" t="s">
        <v>25</v>
      </c>
      <c r="M250">
        <v>560042</v>
      </c>
      <c r="N250" s="1" t="s">
        <v>19</v>
      </c>
    </row>
    <row r="251" spans="1:14" x14ac:dyDescent="0.3">
      <c r="A251">
        <v>44029123</v>
      </c>
      <c r="B251" s="1" t="s">
        <v>23</v>
      </c>
      <c r="C251" s="1" t="s">
        <v>26</v>
      </c>
      <c r="D251" s="1" t="s">
        <v>12</v>
      </c>
      <c r="E251" s="1" t="s">
        <v>13</v>
      </c>
      <c r="F251" s="1" t="s">
        <v>14</v>
      </c>
      <c r="G251" s="1" t="s">
        <v>23</v>
      </c>
      <c r="H251">
        <v>1</v>
      </c>
      <c r="I251" s="1" t="s">
        <v>16</v>
      </c>
      <c r="J251">
        <v>852</v>
      </c>
      <c r="K251" s="1" t="s">
        <v>24</v>
      </c>
      <c r="L251" s="1" t="s">
        <v>25</v>
      </c>
      <c r="M251">
        <v>560102</v>
      </c>
      <c r="N251" s="1" t="s">
        <v>19</v>
      </c>
    </row>
    <row r="252" spans="1:14" x14ac:dyDescent="0.3">
      <c r="A252">
        <v>42634744</v>
      </c>
      <c r="B252" s="1" t="s">
        <v>23</v>
      </c>
      <c r="C252" s="1" t="s">
        <v>26</v>
      </c>
      <c r="D252" s="1" t="s">
        <v>27</v>
      </c>
      <c r="E252" s="1" t="s">
        <v>21</v>
      </c>
      <c r="F252" s="1" t="s">
        <v>28</v>
      </c>
      <c r="G252" s="1" t="s">
        <v>23</v>
      </c>
      <c r="H252">
        <v>1</v>
      </c>
      <c r="I252" s="1" t="s">
        <v>16</v>
      </c>
      <c r="J252">
        <v>353</v>
      </c>
      <c r="K252" s="1" t="s">
        <v>189</v>
      </c>
      <c r="L252" s="1" t="s">
        <v>40</v>
      </c>
      <c r="M252">
        <v>500032</v>
      </c>
      <c r="N252" s="1" t="s">
        <v>19</v>
      </c>
    </row>
    <row r="253" spans="1:14" x14ac:dyDescent="0.3">
      <c r="A253">
        <v>95133911</v>
      </c>
      <c r="B253" s="1" t="s">
        <v>23</v>
      </c>
      <c r="C253" s="1" t="s">
        <v>26</v>
      </c>
      <c r="D253" s="1" t="s">
        <v>27</v>
      </c>
      <c r="E253" s="1" t="s">
        <v>21</v>
      </c>
      <c r="F253" s="1" t="s">
        <v>31</v>
      </c>
      <c r="G253" s="1" t="s">
        <v>23</v>
      </c>
      <c r="H253">
        <v>1</v>
      </c>
      <c r="I253" s="1" t="s">
        <v>16</v>
      </c>
      <c r="J253">
        <v>345</v>
      </c>
      <c r="K253" s="1" t="s">
        <v>24</v>
      </c>
      <c r="L253" s="1" t="s">
        <v>25</v>
      </c>
      <c r="M253">
        <v>562125</v>
      </c>
      <c r="N253" s="1" t="s">
        <v>19</v>
      </c>
    </row>
    <row r="254" spans="1:14" x14ac:dyDescent="0.3">
      <c r="A254">
        <v>61516368</v>
      </c>
      <c r="B254" s="1" t="s">
        <v>23</v>
      </c>
      <c r="C254" s="1" t="s">
        <v>26</v>
      </c>
      <c r="D254" s="1" t="s">
        <v>27</v>
      </c>
      <c r="E254" s="1" t="s">
        <v>33</v>
      </c>
      <c r="F254" s="1" t="s">
        <v>22</v>
      </c>
      <c r="G254" s="1" t="s">
        <v>23</v>
      </c>
      <c r="H254">
        <v>1</v>
      </c>
      <c r="I254" s="1" t="s">
        <v>16</v>
      </c>
      <c r="J254">
        <v>518</v>
      </c>
      <c r="K254" s="1" t="s">
        <v>190</v>
      </c>
      <c r="L254" s="1" t="s">
        <v>80</v>
      </c>
      <c r="M254">
        <v>700034</v>
      </c>
      <c r="N254" s="1" t="s">
        <v>19</v>
      </c>
    </row>
    <row r="255" spans="1:14" x14ac:dyDescent="0.3">
      <c r="A255">
        <v>26580317</v>
      </c>
      <c r="B255" s="1" t="s">
        <v>23</v>
      </c>
      <c r="C255" s="1" t="s">
        <v>26</v>
      </c>
      <c r="D255" s="1" t="s">
        <v>27</v>
      </c>
      <c r="E255" s="1" t="s">
        <v>33</v>
      </c>
      <c r="F255" s="1" t="s">
        <v>43</v>
      </c>
      <c r="G255" s="1" t="s">
        <v>23</v>
      </c>
      <c r="H255">
        <v>1</v>
      </c>
      <c r="I255" s="1" t="s">
        <v>16</v>
      </c>
      <c r="J255">
        <v>387</v>
      </c>
      <c r="K255" s="1" t="s">
        <v>191</v>
      </c>
      <c r="L255" s="1" t="s">
        <v>80</v>
      </c>
      <c r="M255">
        <v>700045</v>
      </c>
      <c r="N255" s="1" t="s">
        <v>19</v>
      </c>
    </row>
    <row r="256" spans="1:14" x14ac:dyDescent="0.3">
      <c r="A256">
        <v>67773937</v>
      </c>
      <c r="B256" s="1" t="s">
        <v>20</v>
      </c>
      <c r="C256" s="1" t="s">
        <v>11</v>
      </c>
      <c r="D256" s="1" t="s">
        <v>12</v>
      </c>
      <c r="E256" s="1" t="s">
        <v>33</v>
      </c>
      <c r="F256" s="1" t="s">
        <v>28</v>
      </c>
      <c r="G256" s="1" t="s">
        <v>23</v>
      </c>
      <c r="H256">
        <v>1</v>
      </c>
      <c r="I256" s="1" t="s">
        <v>16</v>
      </c>
      <c r="J256">
        <v>339</v>
      </c>
      <c r="K256" s="1" t="s">
        <v>39</v>
      </c>
      <c r="L256" s="1" t="s">
        <v>40</v>
      </c>
      <c r="M256">
        <v>500001</v>
      </c>
      <c r="N256" s="1" t="s">
        <v>19</v>
      </c>
    </row>
    <row r="257" spans="1:14" x14ac:dyDescent="0.3">
      <c r="A257">
        <v>95652319</v>
      </c>
      <c r="B257" s="1" t="s">
        <v>23</v>
      </c>
      <c r="C257" s="1" t="s">
        <v>26</v>
      </c>
      <c r="D257" s="1" t="s">
        <v>27</v>
      </c>
      <c r="E257" s="1" t="s">
        <v>30</v>
      </c>
      <c r="F257" s="1" t="s">
        <v>31</v>
      </c>
      <c r="G257" s="1" t="s">
        <v>23</v>
      </c>
      <c r="H257">
        <v>1</v>
      </c>
      <c r="I257" s="1" t="s">
        <v>16</v>
      </c>
      <c r="J257">
        <v>744</v>
      </c>
      <c r="K257" s="1" t="s">
        <v>182</v>
      </c>
      <c r="L257" s="1" t="s">
        <v>78</v>
      </c>
      <c r="M257">
        <v>480661</v>
      </c>
      <c r="N257" s="1" t="s">
        <v>19</v>
      </c>
    </row>
    <row r="258" spans="1:14" x14ac:dyDescent="0.3">
      <c r="A258">
        <v>91689108</v>
      </c>
      <c r="B258" s="1" t="s">
        <v>20</v>
      </c>
      <c r="C258" s="1" t="s">
        <v>11</v>
      </c>
      <c r="D258" s="1" t="s">
        <v>12</v>
      </c>
      <c r="E258" s="1" t="s">
        <v>13</v>
      </c>
      <c r="F258" s="1" t="s">
        <v>28</v>
      </c>
      <c r="G258" s="1" t="s">
        <v>23</v>
      </c>
      <c r="H258">
        <v>1</v>
      </c>
      <c r="I258" s="1" t="s">
        <v>16</v>
      </c>
      <c r="J258">
        <v>888</v>
      </c>
      <c r="K258" s="1" t="s">
        <v>192</v>
      </c>
      <c r="L258" s="1" t="s">
        <v>80</v>
      </c>
      <c r="M258">
        <v>700145</v>
      </c>
      <c r="N258" s="1" t="s">
        <v>19</v>
      </c>
    </row>
    <row r="259" spans="1:14" x14ac:dyDescent="0.3">
      <c r="A259">
        <v>49553122</v>
      </c>
      <c r="B259" s="1" t="s">
        <v>23</v>
      </c>
      <c r="C259" s="1" t="s">
        <v>26</v>
      </c>
      <c r="D259" s="1" t="s">
        <v>27</v>
      </c>
      <c r="E259" s="1" t="s">
        <v>21</v>
      </c>
      <c r="F259" s="1" t="s">
        <v>22</v>
      </c>
      <c r="G259" s="1" t="s">
        <v>23</v>
      </c>
      <c r="H259">
        <v>1</v>
      </c>
      <c r="I259" s="1" t="s">
        <v>16</v>
      </c>
      <c r="J259">
        <v>487</v>
      </c>
      <c r="K259" s="1" t="s">
        <v>193</v>
      </c>
      <c r="L259" s="1" t="s">
        <v>71</v>
      </c>
      <c r="M259">
        <v>754211</v>
      </c>
      <c r="N259" s="1" t="s">
        <v>19</v>
      </c>
    </row>
    <row r="260" spans="1:14" x14ac:dyDescent="0.3">
      <c r="A260">
        <v>62839536</v>
      </c>
      <c r="B260" s="1" t="s">
        <v>20</v>
      </c>
      <c r="C260" s="1" t="s">
        <v>11</v>
      </c>
      <c r="D260" s="1" t="s">
        <v>12</v>
      </c>
      <c r="E260" s="1" t="s">
        <v>21</v>
      </c>
      <c r="F260" s="1" t="s">
        <v>22</v>
      </c>
      <c r="G260" s="1" t="s">
        <v>23</v>
      </c>
      <c r="H260">
        <v>1</v>
      </c>
      <c r="I260" s="1" t="s">
        <v>16</v>
      </c>
      <c r="J260">
        <v>487</v>
      </c>
      <c r="K260" s="1" t="s">
        <v>193</v>
      </c>
      <c r="L260" s="1" t="s">
        <v>71</v>
      </c>
      <c r="M260">
        <v>754211</v>
      </c>
      <c r="N260" s="1" t="s">
        <v>19</v>
      </c>
    </row>
    <row r="261" spans="1:14" x14ac:dyDescent="0.3">
      <c r="A261">
        <v>56914711</v>
      </c>
      <c r="B261" s="1" t="s">
        <v>23</v>
      </c>
      <c r="C261" s="1" t="s">
        <v>26</v>
      </c>
      <c r="D261" s="1" t="s">
        <v>27</v>
      </c>
      <c r="E261" s="1" t="s">
        <v>33</v>
      </c>
      <c r="F261" s="1" t="s">
        <v>43</v>
      </c>
      <c r="G261" s="1" t="s">
        <v>23</v>
      </c>
      <c r="H261">
        <v>1</v>
      </c>
      <c r="I261" s="1" t="s">
        <v>16</v>
      </c>
      <c r="J261">
        <v>563</v>
      </c>
      <c r="K261" s="1" t="s">
        <v>145</v>
      </c>
      <c r="L261" s="1" t="s">
        <v>54</v>
      </c>
      <c r="M261">
        <v>122001</v>
      </c>
      <c r="N261" s="1" t="s">
        <v>19</v>
      </c>
    </row>
    <row r="262" spans="1:14" x14ac:dyDescent="0.3">
      <c r="A262">
        <v>81434754</v>
      </c>
      <c r="B262" s="1" t="s">
        <v>23</v>
      </c>
      <c r="C262" s="1" t="s">
        <v>26</v>
      </c>
      <c r="D262" s="1" t="s">
        <v>27</v>
      </c>
      <c r="E262" s="1" t="s">
        <v>30</v>
      </c>
      <c r="F262" s="1" t="s">
        <v>14</v>
      </c>
      <c r="G262" s="1" t="s">
        <v>23</v>
      </c>
      <c r="H262">
        <v>1</v>
      </c>
      <c r="I262" s="1" t="s">
        <v>16</v>
      </c>
      <c r="J262">
        <v>859</v>
      </c>
      <c r="K262" s="1" t="s">
        <v>133</v>
      </c>
      <c r="L262" s="1" t="s">
        <v>48</v>
      </c>
      <c r="M262">
        <v>521225</v>
      </c>
      <c r="N262" s="1" t="s">
        <v>19</v>
      </c>
    </row>
    <row r="263" spans="1:14" x14ac:dyDescent="0.3">
      <c r="A263">
        <v>19327552</v>
      </c>
      <c r="B263" s="1" t="s">
        <v>23</v>
      </c>
      <c r="C263" s="1" t="s">
        <v>26</v>
      </c>
      <c r="D263" s="1" t="s">
        <v>27</v>
      </c>
      <c r="E263" s="1" t="s">
        <v>13</v>
      </c>
      <c r="F263" s="1" t="s">
        <v>31</v>
      </c>
      <c r="G263" s="1" t="s">
        <v>23</v>
      </c>
      <c r="H263">
        <v>1</v>
      </c>
      <c r="I263" s="1" t="s">
        <v>16</v>
      </c>
      <c r="J263">
        <v>1133</v>
      </c>
      <c r="K263" s="1" t="s">
        <v>17</v>
      </c>
      <c r="L263" s="1" t="s">
        <v>18</v>
      </c>
      <c r="M263">
        <v>400072</v>
      </c>
      <c r="N263" s="1" t="s">
        <v>19</v>
      </c>
    </row>
    <row r="264" spans="1:14" x14ac:dyDescent="0.3">
      <c r="A264">
        <v>10336346</v>
      </c>
      <c r="B264" s="1" t="s">
        <v>23</v>
      </c>
      <c r="C264" s="1" t="s">
        <v>26</v>
      </c>
      <c r="D264" s="1" t="s">
        <v>27</v>
      </c>
      <c r="E264" s="1" t="s">
        <v>13</v>
      </c>
      <c r="F264" s="1" t="s">
        <v>43</v>
      </c>
      <c r="G264" s="1" t="s">
        <v>23</v>
      </c>
      <c r="H264">
        <v>1</v>
      </c>
      <c r="I264" s="1" t="s">
        <v>16</v>
      </c>
      <c r="J264">
        <v>788</v>
      </c>
      <c r="K264" s="1" t="s">
        <v>194</v>
      </c>
      <c r="L264" s="1" t="s">
        <v>18</v>
      </c>
      <c r="M264">
        <v>422003</v>
      </c>
      <c r="N264" s="1" t="s">
        <v>19</v>
      </c>
    </row>
    <row r="265" spans="1:14" x14ac:dyDescent="0.3">
      <c r="A265">
        <v>21035558</v>
      </c>
      <c r="B265" s="1" t="s">
        <v>23</v>
      </c>
      <c r="C265" s="1" t="s">
        <v>26</v>
      </c>
      <c r="D265" s="1" t="s">
        <v>27</v>
      </c>
      <c r="E265" s="1" t="s">
        <v>13</v>
      </c>
      <c r="F265" s="1" t="s">
        <v>14</v>
      </c>
      <c r="G265" s="1" t="s">
        <v>23</v>
      </c>
      <c r="H265">
        <v>1</v>
      </c>
      <c r="I265" s="1" t="s">
        <v>16</v>
      </c>
      <c r="J265">
        <v>1463</v>
      </c>
      <c r="K265" s="1" t="s">
        <v>92</v>
      </c>
      <c r="L265" s="1" t="s">
        <v>18</v>
      </c>
      <c r="M265">
        <v>401107</v>
      </c>
      <c r="N265" s="1" t="s">
        <v>19</v>
      </c>
    </row>
    <row r="266" spans="1:14" x14ac:dyDescent="0.3">
      <c r="A266">
        <v>39758701</v>
      </c>
      <c r="B266" s="1" t="s">
        <v>23</v>
      </c>
      <c r="C266" s="1" t="s">
        <v>26</v>
      </c>
      <c r="D266" s="1" t="s">
        <v>27</v>
      </c>
      <c r="E266" s="1" t="s">
        <v>21</v>
      </c>
      <c r="F266" s="1" t="s">
        <v>31</v>
      </c>
      <c r="G266" s="1" t="s">
        <v>23</v>
      </c>
      <c r="H266">
        <v>1</v>
      </c>
      <c r="I266" s="1" t="s">
        <v>16</v>
      </c>
      <c r="J266">
        <v>399</v>
      </c>
      <c r="K266" s="1" t="s">
        <v>195</v>
      </c>
      <c r="L266" s="1" t="s">
        <v>120</v>
      </c>
      <c r="M266">
        <v>146001</v>
      </c>
      <c r="N266" s="1" t="s">
        <v>19</v>
      </c>
    </row>
    <row r="267" spans="1:14" x14ac:dyDescent="0.3">
      <c r="A267">
        <v>41059527</v>
      </c>
      <c r="B267" s="1" t="s">
        <v>10</v>
      </c>
      <c r="C267" s="1" t="s">
        <v>26</v>
      </c>
      <c r="D267" s="1" t="s">
        <v>27</v>
      </c>
      <c r="E267" s="1" t="s">
        <v>30</v>
      </c>
      <c r="F267" s="1" t="s">
        <v>56</v>
      </c>
      <c r="G267" s="1" t="s">
        <v>116</v>
      </c>
      <c r="H267">
        <v>1</v>
      </c>
      <c r="I267" s="1" t="s">
        <v>16</v>
      </c>
      <c r="J267">
        <v>744</v>
      </c>
      <c r="K267" s="1" t="s">
        <v>182</v>
      </c>
      <c r="L267" s="1" t="s">
        <v>78</v>
      </c>
      <c r="M267">
        <v>480661</v>
      </c>
      <c r="N267" s="1" t="s">
        <v>19</v>
      </c>
    </row>
    <row r="268" spans="1:14" x14ac:dyDescent="0.3">
      <c r="A268">
        <v>46641140</v>
      </c>
      <c r="B268" s="1" t="s">
        <v>20</v>
      </c>
      <c r="C268" s="1" t="s">
        <v>11</v>
      </c>
      <c r="D268" s="1" t="s">
        <v>12</v>
      </c>
      <c r="E268" s="1" t="s">
        <v>21</v>
      </c>
      <c r="F268" s="1" t="s">
        <v>22</v>
      </c>
      <c r="G268" s="1" t="s">
        <v>23</v>
      </c>
      <c r="H268">
        <v>1</v>
      </c>
      <c r="I268" s="1" t="s">
        <v>16</v>
      </c>
      <c r="J268">
        <v>487</v>
      </c>
      <c r="K268" s="1" t="s">
        <v>24</v>
      </c>
      <c r="L268" s="1" t="s">
        <v>25</v>
      </c>
      <c r="M268">
        <v>560010</v>
      </c>
      <c r="N268" s="1" t="s">
        <v>19</v>
      </c>
    </row>
    <row r="269" spans="1:14" x14ac:dyDescent="0.3">
      <c r="A269">
        <v>60941135</v>
      </c>
      <c r="B269" s="1" t="s">
        <v>23</v>
      </c>
      <c r="C269" s="1" t="s">
        <v>26</v>
      </c>
      <c r="D269" s="1" t="s">
        <v>27</v>
      </c>
      <c r="E269" s="1" t="s">
        <v>13</v>
      </c>
      <c r="F269" s="1" t="s">
        <v>31</v>
      </c>
      <c r="G269" s="1" t="s">
        <v>23</v>
      </c>
      <c r="H269">
        <v>1</v>
      </c>
      <c r="I269" s="1" t="s">
        <v>16</v>
      </c>
      <c r="J269">
        <v>657</v>
      </c>
      <c r="K269" s="1" t="s">
        <v>90</v>
      </c>
      <c r="L269" s="1" t="s">
        <v>25</v>
      </c>
      <c r="M269">
        <v>560017</v>
      </c>
      <c r="N269" s="1" t="s">
        <v>19</v>
      </c>
    </row>
    <row r="270" spans="1:14" x14ac:dyDescent="0.3">
      <c r="A270">
        <v>43102740</v>
      </c>
      <c r="B270" s="1" t="s">
        <v>23</v>
      </c>
      <c r="C270" s="1" t="s">
        <v>26</v>
      </c>
      <c r="D270" s="1" t="s">
        <v>27</v>
      </c>
      <c r="E270" s="1" t="s">
        <v>13</v>
      </c>
      <c r="F270" s="1" t="s">
        <v>56</v>
      </c>
      <c r="G270" s="1" t="s">
        <v>23</v>
      </c>
      <c r="H270">
        <v>1</v>
      </c>
      <c r="I270" s="1" t="s">
        <v>16</v>
      </c>
      <c r="J270">
        <v>1133</v>
      </c>
      <c r="K270" s="1" t="s">
        <v>196</v>
      </c>
      <c r="L270" s="1" t="s">
        <v>18</v>
      </c>
      <c r="M270">
        <v>413401</v>
      </c>
      <c r="N270" s="1" t="s">
        <v>19</v>
      </c>
    </row>
    <row r="271" spans="1:14" x14ac:dyDescent="0.3">
      <c r="A271">
        <v>69893130</v>
      </c>
      <c r="B271" s="1" t="s">
        <v>23</v>
      </c>
      <c r="C271" s="1" t="s">
        <v>26</v>
      </c>
      <c r="D271" s="1" t="s">
        <v>27</v>
      </c>
      <c r="E271" s="1" t="s">
        <v>21</v>
      </c>
      <c r="F271" s="1" t="s">
        <v>41</v>
      </c>
      <c r="G271" s="1" t="s">
        <v>23</v>
      </c>
      <c r="H271">
        <v>1</v>
      </c>
      <c r="I271" s="1" t="s">
        <v>16</v>
      </c>
      <c r="J271">
        <v>399</v>
      </c>
      <c r="K271" s="1" t="s">
        <v>17</v>
      </c>
      <c r="L271" s="1" t="s">
        <v>18</v>
      </c>
      <c r="M271">
        <v>400080</v>
      </c>
      <c r="N271" s="1" t="s">
        <v>19</v>
      </c>
    </row>
    <row r="272" spans="1:14" x14ac:dyDescent="0.3">
      <c r="A272">
        <v>16287517</v>
      </c>
      <c r="B272" s="1" t="s">
        <v>23</v>
      </c>
      <c r="C272" s="1" t="s">
        <v>26</v>
      </c>
      <c r="D272" s="1" t="s">
        <v>27</v>
      </c>
      <c r="E272" s="1" t="s">
        <v>21</v>
      </c>
      <c r="F272" s="1" t="s">
        <v>31</v>
      </c>
      <c r="G272" s="1" t="s">
        <v>23</v>
      </c>
      <c r="H272">
        <v>1</v>
      </c>
      <c r="I272" s="1" t="s">
        <v>16</v>
      </c>
      <c r="J272">
        <v>399</v>
      </c>
      <c r="K272" s="1" t="s">
        <v>181</v>
      </c>
      <c r="L272" s="1" t="s">
        <v>100</v>
      </c>
      <c r="M272">
        <v>248001</v>
      </c>
      <c r="N272" s="1" t="s">
        <v>19</v>
      </c>
    </row>
    <row r="273" spans="1:14" x14ac:dyDescent="0.3">
      <c r="A273">
        <v>62777135</v>
      </c>
      <c r="B273" s="1" t="s">
        <v>20</v>
      </c>
      <c r="C273" s="1" t="s">
        <v>11</v>
      </c>
      <c r="D273" s="1" t="s">
        <v>12</v>
      </c>
      <c r="E273" s="1" t="s">
        <v>13</v>
      </c>
      <c r="F273" s="1" t="s">
        <v>56</v>
      </c>
      <c r="G273" s="1" t="s">
        <v>23</v>
      </c>
      <c r="H273">
        <v>1</v>
      </c>
      <c r="I273" s="1" t="s">
        <v>16</v>
      </c>
      <c r="J273">
        <v>1233</v>
      </c>
      <c r="K273" s="1" t="s">
        <v>39</v>
      </c>
      <c r="L273" s="1" t="s">
        <v>40</v>
      </c>
      <c r="M273">
        <v>500089</v>
      </c>
      <c r="N273" s="1" t="s">
        <v>19</v>
      </c>
    </row>
    <row r="274" spans="1:14" x14ac:dyDescent="0.3">
      <c r="A274">
        <v>94846738</v>
      </c>
      <c r="B274" s="1" t="s">
        <v>20</v>
      </c>
      <c r="C274" s="1" t="s">
        <v>11</v>
      </c>
      <c r="D274" s="1" t="s">
        <v>12</v>
      </c>
      <c r="E274" s="1" t="s">
        <v>30</v>
      </c>
      <c r="F274" s="1" t="s">
        <v>22</v>
      </c>
      <c r="G274" s="1" t="s">
        <v>23</v>
      </c>
      <c r="H274">
        <v>1</v>
      </c>
      <c r="I274" s="1" t="s">
        <v>16</v>
      </c>
      <c r="J274">
        <v>825</v>
      </c>
      <c r="K274" s="1" t="s">
        <v>24</v>
      </c>
      <c r="L274" s="1" t="s">
        <v>25</v>
      </c>
      <c r="M274">
        <v>560068</v>
      </c>
      <c r="N274" s="1" t="s">
        <v>19</v>
      </c>
    </row>
    <row r="275" spans="1:14" x14ac:dyDescent="0.3">
      <c r="A275">
        <v>92403567</v>
      </c>
      <c r="B275" s="1" t="s">
        <v>23</v>
      </c>
      <c r="C275" s="1" t="s">
        <v>26</v>
      </c>
      <c r="D275" s="1" t="s">
        <v>27</v>
      </c>
      <c r="E275" s="1" t="s">
        <v>33</v>
      </c>
      <c r="F275" s="1" t="s">
        <v>41</v>
      </c>
      <c r="G275" s="1" t="s">
        <v>23</v>
      </c>
      <c r="H275">
        <v>1</v>
      </c>
      <c r="I275" s="1" t="s">
        <v>16</v>
      </c>
      <c r="J275">
        <v>487</v>
      </c>
      <c r="K275" s="1" t="s">
        <v>34</v>
      </c>
      <c r="L275" s="1" t="s">
        <v>35</v>
      </c>
      <c r="M275">
        <v>600036</v>
      </c>
      <c r="N275" s="1" t="s">
        <v>19</v>
      </c>
    </row>
    <row r="276" spans="1:14" x14ac:dyDescent="0.3">
      <c r="A276">
        <v>64685142</v>
      </c>
      <c r="B276" s="1" t="s">
        <v>23</v>
      </c>
      <c r="C276" s="1" t="s">
        <v>26</v>
      </c>
      <c r="D276" s="1" t="s">
        <v>27</v>
      </c>
      <c r="E276" s="1" t="s">
        <v>13</v>
      </c>
      <c r="F276" s="1" t="s">
        <v>41</v>
      </c>
      <c r="G276" s="1" t="s">
        <v>23</v>
      </c>
      <c r="H276">
        <v>1</v>
      </c>
      <c r="I276" s="1" t="s">
        <v>16</v>
      </c>
      <c r="J276">
        <v>563</v>
      </c>
      <c r="K276" s="1" t="s">
        <v>39</v>
      </c>
      <c r="L276" s="1" t="s">
        <v>40</v>
      </c>
      <c r="M276">
        <v>500028</v>
      </c>
      <c r="N276" s="1" t="s">
        <v>19</v>
      </c>
    </row>
    <row r="277" spans="1:14" x14ac:dyDescent="0.3">
      <c r="A277">
        <v>56117120</v>
      </c>
      <c r="B277" s="1" t="s">
        <v>23</v>
      </c>
      <c r="C277" s="1" t="s">
        <v>26</v>
      </c>
      <c r="D277" s="1" t="s">
        <v>27</v>
      </c>
      <c r="E277" s="1" t="s">
        <v>21</v>
      </c>
      <c r="F277" s="1" t="s">
        <v>41</v>
      </c>
      <c r="G277" s="1" t="s">
        <v>23</v>
      </c>
      <c r="H277">
        <v>1</v>
      </c>
      <c r="I277" s="1" t="s">
        <v>16</v>
      </c>
      <c r="J277">
        <v>399</v>
      </c>
      <c r="K277" s="1" t="s">
        <v>39</v>
      </c>
      <c r="L277" s="1" t="s">
        <v>40</v>
      </c>
      <c r="M277">
        <v>500028</v>
      </c>
      <c r="N277" s="1" t="s">
        <v>19</v>
      </c>
    </row>
    <row r="278" spans="1:14" x14ac:dyDescent="0.3">
      <c r="A278">
        <v>48411501</v>
      </c>
      <c r="B278" s="1" t="s">
        <v>20</v>
      </c>
      <c r="C278" s="1" t="s">
        <v>11</v>
      </c>
      <c r="D278" s="1" t="s">
        <v>12</v>
      </c>
      <c r="E278" s="1" t="s">
        <v>21</v>
      </c>
      <c r="F278" s="1" t="s">
        <v>22</v>
      </c>
      <c r="G278" s="1" t="s">
        <v>23</v>
      </c>
      <c r="H278">
        <v>1</v>
      </c>
      <c r="I278" s="1" t="s">
        <v>16</v>
      </c>
      <c r="J278">
        <v>471</v>
      </c>
      <c r="K278" s="1" t="s">
        <v>197</v>
      </c>
      <c r="L278" s="1" t="s">
        <v>54</v>
      </c>
      <c r="M278">
        <v>134107</v>
      </c>
      <c r="N278" s="1" t="s">
        <v>19</v>
      </c>
    </row>
    <row r="279" spans="1:14" x14ac:dyDescent="0.3">
      <c r="A279">
        <v>34515521</v>
      </c>
      <c r="B279" s="1" t="s">
        <v>20</v>
      </c>
      <c r="C279" s="1" t="s">
        <v>11</v>
      </c>
      <c r="D279" s="1" t="s">
        <v>12</v>
      </c>
      <c r="E279" s="1" t="s">
        <v>21</v>
      </c>
      <c r="F279" s="1" t="s">
        <v>41</v>
      </c>
      <c r="G279" s="1" t="s">
        <v>23</v>
      </c>
      <c r="H279">
        <v>1</v>
      </c>
      <c r="I279" s="1" t="s">
        <v>16</v>
      </c>
      <c r="J279">
        <v>342</v>
      </c>
      <c r="K279" s="1" t="s">
        <v>198</v>
      </c>
      <c r="L279" s="1" t="s">
        <v>78</v>
      </c>
      <c r="M279">
        <v>456010</v>
      </c>
      <c r="N279" s="1" t="s">
        <v>19</v>
      </c>
    </row>
    <row r="280" spans="1:14" x14ac:dyDescent="0.3">
      <c r="A280">
        <v>2025918</v>
      </c>
      <c r="B280" s="1" t="s">
        <v>23</v>
      </c>
      <c r="C280" s="1" t="s">
        <v>26</v>
      </c>
      <c r="D280" s="1" t="s">
        <v>27</v>
      </c>
      <c r="E280" s="1" t="s">
        <v>21</v>
      </c>
      <c r="F280" s="1" t="s">
        <v>41</v>
      </c>
      <c r="G280" s="1" t="s">
        <v>23</v>
      </c>
      <c r="H280">
        <v>1</v>
      </c>
      <c r="I280" s="1" t="s">
        <v>16</v>
      </c>
      <c r="J280">
        <v>432</v>
      </c>
      <c r="K280" s="1" t="s">
        <v>198</v>
      </c>
      <c r="L280" s="1" t="s">
        <v>78</v>
      </c>
      <c r="M280">
        <v>456010</v>
      </c>
      <c r="N280" s="1" t="s">
        <v>19</v>
      </c>
    </row>
    <row r="281" spans="1:14" x14ac:dyDescent="0.3">
      <c r="A281">
        <v>18453114</v>
      </c>
      <c r="B281" s="1" t="s">
        <v>23</v>
      </c>
      <c r="C281" s="1" t="s">
        <v>26</v>
      </c>
      <c r="D281" s="1" t="s">
        <v>27</v>
      </c>
      <c r="E281" s="1" t="s">
        <v>21</v>
      </c>
      <c r="F281" s="1" t="s">
        <v>31</v>
      </c>
      <c r="G281" s="1" t="s">
        <v>23</v>
      </c>
      <c r="H281">
        <v>1</v>
      </c>
      <c r="I281" s="1" t="s">
        <v>16</v>
      </c>
      <c r="J281">
        <v>399</v>
      </c>
      <c r="K281" s="1" t="s">
        <v>199</v>
      </c>
      <c r="L281" s="1" t="s">
        <v>100</v>
      </c>
      <c r="M281">
        <v>263139</v>
      </c>
      <c r="N281" s="1" t="s">
        <v>19</v>
      </c>
    </row>
    <row r="282" spans="1:14" x14ac:dyDescent="0.3">
      <c r="A282">
        <v>6235514</v>
      </c>
      <c r="B282" s="1" t="s">
        <v>23</v>
      </c>
      <c r="C282" s="1" t="s">
        <v>26</v>
      </c>
      <c r="D282" s="1" t="s">
        <v>27</v>
      </c>
      <c r="E282" s="1" t="s">
        <v>13</v>
      </c>
      <c r="F282" s="1" t="s">
        <v>14</v>
      </c>
      <c r="G282" s="1" t="s">
        <v>23</v>
      </c>
      <c r="H282">
        <v>1</v>
      </c>
      <c r="I282" s="1" t="s">
        <v>16</v>
      </c>
      <c r="J282">
        <v>736</v>
      </c>
      <c r="K282" s="1" t="s">
        <v>34</v>
      </c>
      <c r="L282" s="1" t="s">
        <v>35</v>
      </c>
      <c r="M282">
        <v>600125</v>
      </c>
      <c r="N282" s="1" t="s">
        <v>19</v>
      </c>
    </row>
    <row r="283" spans="1:14" x14ac:dyDescent="0.3">
      <c r="A283">
        <v>92676310</v>
      </c>
      <c r="B283" s="1" t="s">
        <v>23</v>
      </c>
      <c r="C283" s="1" t="s">
        <v>26</v>
      </c>
      <c r="D283" s="1" t="s">
        <v>27</v>
      </c>
      <c r="E283" s="1" t="s">
        <v>13</v>
      </c>
      <c r="F283" s="1" t="s">
        <v>31</v>
      </c>
      <c r="G283" s="1" t="s">
        <v>23</v>
      </c>
      <c r="H283">
        <v>1</v>
      </c>
      <c r="I283" s="1" t="s">
        <v>16</v>
      </c>
      <c r="J283">
        <v>1260</v>
      </c>
      <c r="K283" s="1" t="s">
        <v>17</v>
      </c>
      <c r="L283" s="1" t="s">
        <v>18</v>
      </c>
      <c r="M283">
        <v>400049</v>
      </c>
      <c r="N283" s="1" t="s">
        <v>19</v>
      </c>
    </row>
    <row r="284" spans="1:14" x14ac:dyDescent="0.3">
      <c r="A284">
        <v>38553945</v>
      </c>
      <c r="B284" s="1" t="s">
        <v>23</v>
      </c>
      <c r="C284" s="1" t="s">
        <v>26</v>
      </c>
      <c r="D284" s="1" t="s">
        <v>27</v>
      </c>
      <c r="E284" s="1" t="s">
        <v>21</v>
      </c>
      <c r="F284" s="1" t="s">
        <v>31</v>
      </c>
      <c r="G284" s="1" t="s">
        <v>23</v>
      </c>
      <c r="H284">
        <v>1</v>
      </c>
      <c r="I284" s="1" t="s">
        <v>16</v>
      </c>
      <c r="J284">
        <v>399</v>
      </c>
      <c r="K284" s="1" t="s">
        <v>200</v>
      </c>
      <c r="L284" s="1" t="s">
        <v>100</v>
      </c>
      <c r="M284">
        <v>249193</v>
      </c>
      <c r="N284" s="1" t="s">
        <v>19</v>
      </c>
    </row>
    <row r="285" spans="1:14" x14ac:dyDescent="0.3">
      <c r="A285">
        <v>77637100</v>
      </c>
      <c r="B285" s="1" t="s">
        <v>23</v>
      </c>
      <c r="C285" s="1" t="s">
        <v>26</v>
      </c>
      <c r="D285" s="1" t="s">
        <v>27</v>
      </c>
      <c r="E285" s="1" t="s">
        <v>13</v>
      </c>
      <c r="F285" s="1" t="s">
        <v>43</v>
      </c>
      <c r="G285" s="1" t="s">
        <v>23</v>
      </c>
      <c r="H285">
        <v>1</v>
      </c>
      <c r="I285" s="1" t="s">
        <v>16</v>
      </c>
      <c r="J285">
        <v>1133</v>
      </c>
      <c r="K285" s="1" t="s">
        <v>162</v>
      </c>
      <c r="L285" s="1" t="s">
        <v>71</v>
      </c>
      <c r="M285">
        <v>751006</v>
      </c>
      <c r="N285" s="1" t="s">
        <v>19</v>
      </c>
    </row>
    <row r="286" spans="1:14" x14ac:dyDescent="0.3">
      <c r="A286">
        <v>96635501</v>
      </c>
      <c r="B286" s="1" t="s">
        <v>23</v>
      </c>
      <c r="C286" s="1" t="s">
        <v>26</v>
      </c>
      <c r="D286" s="1" t="s">
        <v>27</v>
      </c>
      <c r="E286" s="1" t="s">
        <v>13</v>
      </c>
      <c r="F286" s="1" t="s">
        <v>31</v>
      </c>
      <c r="G286" s="1" t="s">
        <v>23</v>
      </c>
      <c r="H286">
        <v>1</v>
      </c>
      <c r="I286" s="1" t="s">
        <v>16</v>
      </c>
      <c r="J286">
        <v>759</v>
      </c>
      <c r="K286" s="1" t="s">
        <v>201</v>
      </c>
      <c r="L286" s="1" t="s">
        <v>202</v>
      </c>
      <c r="M286">
        <v>403107</v>
      </c>
      <c r="N286" s="1" t="s">
        <v>19</v>
      </c>
    </row>
    <row r="287" spans="1:14" x14ac:dyDescent="0.3">
      <c r="A287">
        <v>52269150</v>
      </c>
      <c r="B287" s="1" t="s">
        <v>10</v>
      </c>
      <c r="C287" s="1" t="s">
        <v>26</v>
      </c>
      <c r="D287" s="1" t="s">
        <v>27</v>
      </c>
      <c r="E287" s="1" t="s">
        <v>21</v>
      </c>
      <c r="F287" s="1" t="s">
        <v>56</v>
      </c>
      <c r="G287" s="1" t="s">
        <v>116</v>
      </c>
      <c r="H287">
        <v>1</v>
      </c>
      <c r="I287" s="1" t="s">
        <v>16</v>
      </c>
      <c r="J287">
        <v>475</v>
      </c>
      <c r="K287" s="1" t="s">
        <v>203</v>
      </c>
      <c r="L287" s="1" t="s">
        <v>78</v>
      </c>
      <c r="M287">
        <v>451224</v>
      </c>
      <c r="N287" s="1" t="s">
        <v>19</v>
      </c>
    </row>
    <row r="288" spans="1:14" x14ac:dyDescent="0.3">
      <c r="A288">
        <v>15682727</v>
      </c>
      <c r="B288" s="1" t="s">
        <v>23</v>
      </c>
      <c r="C288" s="1" t="s">
        <v>26</v>
      </c>
      <c r="D288" s="1" t="s">
        <v>27</v>
      </c>
      <c r="E288" s="1" t="s">
        <v>30</v>
      </c>
      <c r="F288" s="1" t="s">
        <v>43</v>
      </c>
      <c r="G288" s="1" t="s">
        <v>23</v>
      </c>
      <c r="H288">
        <v>1</v>
      </c>
      <c r="I288" s="1" t="s">
        <v>16</v>
      </c>
      <c r="J288">
        <v>744</v>
      </c>
      <c r="K288" s="1" t="s">
        <v>24</v>
      </c>
      <c r="L288" s="1" t="s">
        <v>25</v>
      </c>
      <c r="M288">
        <v>560037</v>
      </c>
      <c r="N288" s="1" t="s">
        <v>19</v>
      </c>
    </row>
    <row r="289" spans="1:14" x14ac:dyDescent="0.3">
      <c r="A289">
        <v>7475550</v>
      </c>
      <c r="B289" s="1" t="s">
        <v>10</v>
      </c>
      <c r="C289" s="1" t="s">
        <v>11</v>
      </c>
      <c r="D289" s="1" t="s">
        <v>12</v>
      </c>
      <c r="E289" s="1" t="s">
        <v>13</v>
      </c>
      <c r="F289" s="1" t="s">
        <v>31</v>
      </c>
      <c r="G289" s="1" t="s">
        <v>15</v>
      </c>
      <c r="H289">
        <v>2</v>
      </c>
      <c r="I289" s="1" t="s">
        <v>16</v>
      </c>
      <c r="J289">
        <v>1903</v>
      </c>
      <c r="K289" s="1" t="s">
        <v>204</v>
      </c>
      <c r="L289" s="1" t="s">
        <v>37</v>
      </c>
      <c r="M289">
        <v>241001</v>
      </c>
      <c r="N289" s="1" t="s">
        <v>19</v>
      </c>
    </row>
    <row r="290" spans="1:14" x14ac:dyDescent="0.3">
      <c r="A290">
        <v>5417947</v>
      </c>
      <c r="B290" s="1" t="s">
        <v>23</v>
      </c>
      <c r="C290" s="1" t="s">
        <v>26</v>
      </c>
      <c r="D290" s="1" t="s">
        <v>27</v>
      </c>
      <c r="E290" s="1" t="s">
        <v>30</v>
      </c>
      <c r="F290" s="1" t="s">
        <v>56</v>
      </c>
      <c r="G290" s="1" t="s">
        <v>23</v>
      </c>
      <c r="H290">
        <v>1</v>
      </c>
      <c r="I290" s="1" t="s">
        <v>16</v>
      </c>
      <c r="J290">
        <v>771</v>
      </c>
      <c r="K290" s="1" t="s">
        <v>39</v>
      </c>
      <c r="L290" s="1" t="s">
        <v>40</v>
      </c>
      <c r="M290">
        <v>500073</v>
      </c>
      <c r="N290" s="1" t="s">
        <v>19</v>
      </c>
    </row>
    <row r="291" spans="1:14" x14ac:dyDescent="0.3">
      <c r="A291">
        <v>26805151</v>
      </c>
      <c r="B291" s="1" t="s">
        <v>20</v>
      </c>
      <c r="C291" s="1" t="s">
        <v>11</v>
      </c>
      <c r="D291" s="1" t="s">
        <v>12</v>
      </c>
      <c r="E291" s="1" t="s">
        <v>30</v>
      </c>
      <c r="F291" s="1" t="s">
        <v>56</v>
      </c>
      <c r="G291" s="1" t="s">
        <v>23</v>
      </c>
      <c r="H291">
        <v>1</v>
      </c>
      <c r="I291" s="1" t="s">
        <v>16</v>
      </c>
      <c r="J291">
        <v>725</v>
      </c>
      <c r="K291" s="1" t="s">
        <v>39</v>
      </c>
      <c r="L291" s="1" t="s">
        <v>40</v>
      </c>
      <c r="M291">
        <v>500073</v>
      </c>
      <c r="N291" s="1" t="s">
        <v>19</v>
      </c>
    </row>
    <row r="292" spans="1:14" x14ac:dyDescent="0.3">
      <c r="A292">
        <v>63029944</v>
      </c>
      <c r="B292" s="1" t="s">
        <v>10</v>
      </c>
      <c r="C292" s="1" t="s">
        <v>11</v>
      </c>
      <c r="D292" s="1" t="s">
        <v>12</v>
      </c>
      <c r="E292" s="1" t="s">
        <v>21</v>
      </c>
      <c r="F292" s="1" t="s">
        <v>14</v>
      </c>
      <c r="G292" s="1" t="s">
        <v>15</v>
      </c>
      <c r="H292">
        <v>2</v>
      </c>
      <c r="I292" s="1" t="s">
        <v>16</v>
      </c>
      <c r="J292">
        <v>473</v>
      </c>
      <c r="K292" s="1" t="s">
        <v>51</v>
      </c>
      <c r="L292" s="1" t="s">
        <v>52</v>
      </c>
      <c r="M292">
        <v>110074</v>
      </c>
      <c r="N292" s="1" t="s">
        <v>19</v>
      </c>
    </row>
    <row r="293" spans="1:14" x14ac:dyDescent="0.3">
      <c r="A293">
        <v>9479519</v>
      </c>
      <c r="B293" s="1" t="s">
        <v>20</v>
      </c>
      <c r="C293" s="1" t="s">
        <v>11</v>
      </c>
      <c r="D293" s="1" t="s">
        <v>12</v>
      </c>
      <c r="E293" s="1" t="s">
        <v>13</v>
      </c>
      <c r="F293" s="1" t="s">
        <v>56</v>
      </c>
      <c r="G293" s="1" t="s">
        <v>23</v>
      </c>
      <c r="H293">
        <v>1</v>
      </c>
      <c r="I293" s="1" t="s">
        <v>16</v>
      </c>
      <c r="J293">
        <v>759</v>
      </c>
      <c r="K293" s="1" t="s">
        <v>205</v>
      </c>
      <c r="L293" s="1" t="s">
        <v>206</v>
      </c>
      <c r="M293">
        <v>793008</v>
      </c>
      <c r="N293" s="1" t="s">
        <v>19</v>
      </c>
    </row>
    <row r="294" spans="1:14" x14ac:dyDescent="0.3">
      <c r="A294">
        <v>11244300</v>
      </c>
      <c r="B294" s="1" t="s">
        <v>10</v>
      </c>
      <c r="C294" s="1" t="s">
        <v>26</v>
      </c>
      <c r="D294" s="1" t="s">
        <v>27</v>
      </c>
      <c r="E294" s="1" t="s">
        <v>21</v>
      </c>
      <c r="F294" s="1" t="s">
        <v>56</v>
      </c>
      <c r="G294" s="1" t="s">
        <v>116</v>
      </c>
      <c r="H294">
        <v>1</v>
      </c>
      <c r="I294" s="1" t="s">
        <v>16</v>
      </c>
      <c r="J294">
        <v>475</v>
      </c>
      <c r="K294" s="1" t="s">
        <v>207</v>
      </c>
      <c r="L294" s="1" t="s">
        <v>78</v>
      </c>
      <c r="M294">
        <v>454552</v>
      </c>
      <c r="N294" s="1" t="s">
        <v>19</v>
      </c>
    </row>
    <row r="295" spans="1:14" x14ac:dyDescent="0.3">
      <c r="A295">
        <v>66115500</v>
      </c>
      <c r="B295" s="1" t="s">
        <v>10</v>
      </c>
      <c r="C295" s="1" t="s">
        <v>26</v>
      </c>
      <c r="D295" s="1" t="s">
        <v>27</v>
      </c>
      <c r="E295" s="1" t="s">
        <v>13</v>
      </c>
      <c r="F295" s="1" t="s">
        <v>41</v>
      </c>
      <c r="G295" s="1" t="s">
        <v>116</v>
      </c>
      <c r="H295">
        <v>1</v>
      </c>
      <c r="I295" s="1" t="s">
        <v>16</v>
      </c>
      <c r="J295">
        <v>654</v>
      </c>
      <c r="K295" s="1" t="s">
        <v>154</v>
      </c>
      <c r="L295" s="1" t="s">
        <v>25</v>
      </c>
      <c r="M295">
        <v>570016</v>
      </c>
      <c r="N295" s="1" t="s">
        <v>19</v>
      </c>
    </row>
    <row r="296" spans="1:14" x14ac:dyDescent="0.3">
      <c r="A296">
        <v>87576354</v>
      </c>
      <c r="B296" s="1" t="s">
        <v>10</v>
      </c>
      <c r="C296" s="1" t="s">
        <v>26</v>
      </c>
      <c r="D296" s="1" t="s">
        <v>27</v>
      </c>
      <c r="E296" s="1" t="s">
        <v>30</v>
      </c>
      <c r="F296" s="1" t="s">
        <v>41</v>
      </c>
      <c r="G296" s="1" t="s">
        <v>116</v>
      </c>
      <c r="H296">
        <v>1</v>
      </c>
      <c r="I296" s="1" t="s">
        <v>16</v>
      </c>
      <c r="J296">
        <v>791</v>
      </c>
      <c r="K296" s="1" t="s">
        <v>24</v>
      </c>
      <c r="L296" s="1" t="s">
        <v>25</v>
      </c>
      <c r="M296">
        <v>560037</v>
      </c>
      <c r="N296" s="1" t="s">
        <v>19</v>
      </c>
    </row>
    <row r="297" spans="1:14" x14ac:dyDescent="0.3">
      <c r="A297">
        <v>43718756</v>
      </c>
      <c r="B297" s="1" t="s">
        <v>23</v>
      </c>
      <c r="C297" s="1" t="s">
        <v>26</v>
      </c>
      <c r="D297" s="1" t="s">
        <v>27</v>
      </c>
      <c r="E297" s="1" t="s">
        <v>30</v>
      </c>
      <c r="F297" s="1" t="s">
        <v>22</v>
      </c>
      <c r="G297" s="1" t="s">
        <v>23</v>
      </c>
      <c r="H297">
        <v>1</v>
      </c>
      <c r="I297" s="1" t="s">
        <v>16</v>
      </c>
      <c r="J297">
        <v>744</v>
      </c>
      <c r="K297" s="1" t="s">
        <v>24</v>
      </c>
      <c r="L297" s="1" t="s">
        <v>25</v>
      </c>
      <c r="M297">
        <v>560070</v>
      </c>
      <c r="N297" s="1" t="s">
        <v>19</v>
      </c>
    </row>
    <row r="298" spans="1:14" x14ac:dyDescent="0.3">
      <c r="A298">
        <v>20889129</v>
      </c>
      <c r="B298" s="1" t="s">
        <v>23</v>
      </c>
      <c r="C298" s="1" t="s">
        <v>26</v>
      </c>
      <c r="D298" s="1" t="s">
        <v>27</v>
      </c>
      <c r="E298" s="1" t="s">
        <v>21</v>
      </c>
      <c r="F298" s="1" t="s">
        <v>22</v>
      </c>
      <c r="G298" s="1" t="s">
        <v>23</v>
      </c>
      <c r="H298">
        <v>1</v>
      </c>
      <c r="I298" s="1" t="s">
        <v>16</v>
      </c>
      <c r="J298">
        <v>376</v>
      </c>
      <c r="K298" s="1" t="s">
        <v>208</v>
      </c>
      <c r="L298" s="1" t="s">
        <v>80</v>
      </c>
      <c r="M298">
        <v>741222</v>
      </c>
      <c r="N298" s="1" t="s">
        <v>19</v>
      </c>
    </row>
    <row r="299" spans="1:14" x14ac:dyDescent="0.3">
      <c r="A299">
        <v>36559523</v>
      </c>
      <c r="B299" s="1" t="s">
        <v>23</v>
      </c>
      <c r="C299" s="1" t="s">
        <v>26</v>
      </c>
      <c r="D299" s="1" t="s">
        <v>27</v>
      </c>
      <c r="E299" s="1" t="s">
        <v>21</v>
      </c>
      <c r="F299" s="1" t="s">
        <v>28</v>
      </c>
      <c r="G299" s="1" t="s">
        <v>23</v>
      </c>
      <c r="H299">
        <v>1</v>
      </c>
      <c r="I299" s="1" t="s">
        <v>16</v>
      </c>
      <c r="J299">
        <v>399</v>
      </c>
      <c r="K299" s="1" t="s">
        <v>34</v>
      </c>
      <c r="L299" s="1" t="s">
        <v>35</v>
      </c>
      <c r="M299">
        <v>600082</v>
      </c>
      <c r="N299" s="1" t="s">
        <v>19</v>
      </c>
    </row>
    <row r="300" spans="1:14" x14ac:dyDescent="0.3">
      <c r="A300">
        <v>78945127</v>
      </c>
      <c r="B300" s="1" t="s">
        <v>23</v>
      </c>
      <c r="C300" s="1" t="s">
        <v>26</v>
      </c>
      <c r="D300" s="1" t="s">
        <v>27</v>
      </c>
      <c r="E300" s="1" t="s">
        <v>13</v>
      </c>
      <c r="F300" s="1" t="s">
        <v>28</v>
      </c>
      <c r="G300" s="1" t="s">
        <v>23</v>
      </c>
      <c r="H300">
        <v>1</v>
      </c>
      <c r="I300" s="1" t="s">
        <v>16</v>
      </c>
      <c r="J300">
        <v>599</v>
      </c>
      <c r="K300" s="1" t="s">
        <v>79</v>
      </c>
      <c r="L300" s="1" t="s">
        <v>80</v>
      </c>
      <c r="M300">
        <v>700044</v>
      </c>
      <c r="N300" s="1" t="s">
        <v>19</v>
      </c>
    </row>
    <row r="301" spans="1:14" x14ac:dyDescent="0.3">
      <c r="A301">
        <v>35385136</v>
      </c>
      <c r="B301" s="1" t="s">
        <v>23</v>
      </c>
      <c r="C301" s="1" t="s">
        <v>26</v>
      </c>
      <c r="D301" s="1" t="s">
        <v>27</v>
      </c>
      <c r="E301" s="1" t="s">
        <v>21</v>
      </c>
      <c r="F301" s="1" t="s">
        <v>22</v>
      </c>
      <c r="G301" s="1" t="s">
        <v>23</v>
      </c>
      <c r="H301">
        <v>1</v>
      </c>
      <c r="I301" s="1" t="s">
        <v>16</v>
      </c>
      <c r="J301">
        <v>782</v>
      </c>
      <c r="K301" s="1" t="s">
        <v>209</v>
      </c>
      <c r="L301" s="1" t="s">
        <v>25</v>
      </c>
      <c r="M301">
        <v>577101</v>
      </c>
      <c r="N301" s="1" t="s">
        <v>19</v>
      </c>
    </row>
    <row r="302" spans="1:14" x14ac:dyDescent="0.3">
      <c r="A302">
        <v>79353103</v>
      </c>
      <c r="B302" s="1" t="s">
        <v>23</v>
      </c>
      <c r="C302" s="1" t="s">
        <v>26</v>
      </c>
      <c r="D302" s="1" t="s">
        <v>27</v>
      </c>
      <c r="E302" s="1" t="s">
        <v>13</v>
      </c>
      <c r="F302" s="1" t="s">
        <v>41</v>
      </c>
      <c r="G302" s="1" t="s">
        <v>23</v>
      </c>
      <c r="H302">
        <v>1</v>
      </c>
      <c r="I302" s="1" t="s">
        <v>16</v>
      </c>
      <c r="J302">
        <v>1173</v>
      </c>
      <c r="K302" s="1" t="s">
        <v>162</v>
      </c>
      <c r="L302" s="1" t="s">
        <v>71</v>
      </c>
      <c r="M302">
        <v>751003</v>
      </c>
      <c r="N302" s="1" t="s">
        <v>19</v>
      </c>
    </row>
    <row r="303" spans="1:14" x14ac:dyDescent="0.3">
      <c r="A303">
        <v>25578715</v>
      </c>
      <c r="B303" s="1" t="s">
        <v>20</v>
      </c>
      <c r="C303" s="1" t="s">
        <v>11</v>
      </c>
      <c r="D303" s="1" t="s">
        <v>12</v>
      </c>
      <c r="E303" s="1" t="s">
        <v>30</v>
      </c>
      <c r="F303" s="1" t="s">
        <v>56</v>
      </c>
      <c r="G303" s="1" t="s">
        <v>23</v>
      </c>
      <c r="H303">
        <v>1</v>
      </c>
      <c r="I303" s="1" t="s">
        <v>16</v>
      </c>
      <c r="J303">
        <v>744</v>
      </c>
      <c r="K303" s="1" t="s">
        <v>145</v>
      </c>
      <c r="L303" s="1" t="s">
        <v>54</v>
      </c>
      <c r="M303">
        <v>122018</v>
      </c>
      <c r="N303" s="1" t="s">
        <v>19</v>
      </c>
    </row>
    <row r="304" spans="1:14" x14ac:dyDescent="0.3">
      <c r="A304">
        <v>8678700</v>
      </c>
      <c r="B304" s="1" t="s">
        <v>23</v>
      </c>
      <c r="C304" s="1" t="s">
        <v>26</v>
      </c>
      <c r="D304" s="1" t="s">
        <v>27</v>
      </c>
      <c r="E304" s="1" t="s">
        <v>30</v>
      </c>
      <c r="F304" s="1" t="s">
        <v>56</v>
      </c>
      <c r="G304" s="1" t="s">
        <v>23</v>
      </c>
      <c r="H304">
        <v>1</v>
      </c>
      <c r="I304" s="1" t="s">
        <v>16</v>
      </c>
      <c r="J304">
        <v>725</v>
      </c>
      <c r="K304" s="1" t="s">
        <v>79</v>
      </c>
      <c r="L304" s="1" t="s">
        <v>80</v>
      </c>
      <c r="M304">
        <v>700050</v>
      </c>
      <c r="N304" s="1" t="s">
        <v>19</v>
      </c>
    </row>
    <row r="305" spans="1:14" x14ac:dyDescent="0.3">
      <c r="A305">
        <v>79813158</v>
      </c>
      <c r="B305" s="1" t="s">
        <v>23</v>
      </c>
      <c r="C305" s="1" t="s">
        <v>26</v>
      </c>
      <c r="D305" s="1" t="s">
        <v>27</v>
      </c>
      <c r="E305" s="1" t="s">
        <v>21</v>
      </c>
      <c r="F305" s="1" t="s">
        <v>43</v>
      </c>
      <c r="G305" s="1" t="s">
        <v>23</v>
      </c>
      <c r="H305">
        <v>1</v>
      </c>
      <c r="I305" s="1" t="s">
        <v>16</v>
      </c>
      <c r="J305">
        <v>376</v>
      </c>
      <c r="K305" s="1" t="s">
        <v>69</v>
      </c>
      <c r="L305" s="1" t="s">
        <v>48</v>
      </c>
      <c r="M305">
        <v>530016</v>
      </c>
      <c r="N305" s="1" t="s">
        <v>19</v>
      </c>
    </row>
    <row r="306" spans="1:14" x14ac:dyDescent="0.3">
      <c r="A306">
        <v>33825907</v>
      </c>
      <c r="B306" s="1" t="s">
        <v>20</v>
      </c>
      <c r="C306" s="1" t="s">
        <v>11</v>
      </c>
      <c r="D306" s="1" t="s">
        <v>12</v>
      </c>
      <c r="E306" s="1" t="s">
        <v>21</v>
      </c>
      <c r="F306" s="1" t="s">
        <v>31</v>
      </c>
      <c r="G306" s="1" t="s">
        <v>23</v>
      </c>
      <c r="H306">
        <v>1</v>
      </c>
      <c r="I306" s="1" t="s">
        <v>16</v>
      </c>
      <c r="J306">
        <v>459</v>
      </c>
      <c r="K306" s="1" t="s">
        <v>147</v>
      </c>
      <c r="L306" s="1" t="s">
        <v>37</v>
      </c>
      <c r="M306">
        <v>211004</v>
      </c>
      <c r="N306" s="1" t="s">
        <v>19</v>
      </c>
    </row>
    <row r="307" spans="1:14" x14ac:dyDescent="0.3">
      <c r="A307">
        <v>82630741</v>
      </c>
      <c r="B307" s="1" t="s">
        <v>10</v>
      </c>
      <c r="C307" s="1" t="s">
        <v>26</v>
      </c>
      <c r="D307" s="1" t="s">
        <v>27</v>
      </c>
      <c r="E307" s="1" t="s">
        <v>13</v>
      </c>
      <c r="F307" s="1" t="s">
        <v>41</v>
      </c>
      <c r="G307" s="1" t="s">
        <v>116</v>
      </c>
      <c r="H307">
        <v>1</v>
      </c>
      <c r="I307" s="1" t="s">
        <v>16</v>
      </c>
      <c r="J307">
        <v>654</v>
      </c>
      <c r="K307" s="1" t="s">
        <v>154</v>
      </c>
      <c r="L307" s="1" t="s">
        <v>25</v>
      </c>
      <c r="M307">
        <v>570016</v>
      </c>
      <c r="N307" s="1" t="s">
        <v>19</v>
      </c>
    </row>
    <row r="308" spans="1:14" x14ac:dyDescent="0.3">
      <c r="A308">
        <v>13169903</v>
      </c>
      <c r="B308" s="1" t="s">
        <v>23</v>
      </c>
      <c r="C308" s="1" t="s">
        <v>26</v>
      </c>
      <c r="D308" s="1" t="s">
        <v>27</v>
      </c>
      <c r="E308" s="1" t="s">
        <v>21</v>
      </c>
      <c r="F308" s="1" t="s">
        <v>56</v>
      </c>
      <c r="G308" s="1" t="s">
        <v>23</v>
      </c>
      <c r="H308">
        <v>1</v>
      </c>
      <c r="I308" s="1" t="s">
        <v>16</v>
      </c>
      <c r="J308">
        <v>379</v>
      </c>
      <c r="K308" s="1" t="s">
        <v>68</v>
      </c>
      <c r="L308" s="1" t="s">
        <v>37</v>
      </c>
      <c r="M308">
        <v>226022</v>
      </c>
      <c r="N308" s="1" t="s">
        <v>19</v>
      </c>
    </row>
    <row r="309" spans="1:14" x14ac:dyDescent="0.3">
      <c r="A309">
        <v>29433941</v>
      </c>
      <c r="B309" s="1" t="s">
        <v>23</v>
      </c>
      <c r="C309" s="1" t="s">
        <v>26</v>
      </c>
      <c r="D309" s="1" t="s">
        <v>27</v>
      </c>
      <c r="E309" s="1" t="s">
        <v>13</v>
      </c>
      <c r="F309" s="1" t="s">
        <v>28</v>
      </c>
      <c r="G309" s="1" t="s">
        <v>23</v>
      </c>
      <c r="H309">
        <v>1</v>
      </c>
      <c r="I309" s="1" t="s">
        <v>16</v>
      </c>
      <c r="J309">
        <v>696</v>
      </c>
      <c r="K309" s="1" t="s">
        <v>79</v>
      </c>
      <c r="L309" s="1" t="s">
        <v>80</v>
      </c>
      <c r="M309">
        <v>700089</v>
      </c>
      <c r="N309" s="1" t="s">
        <v>19</v>
      </c>
    </row>
    <row r="310" spans="1:14" x14ac:dyDescent="0.3">
      <c r="A310">
        <v>96030721</v>
      </c>
      <c r="B310" s="1" t="s">
        <v>23</v>
      </c>
      <c r="C310" s="1" t="s">
        <v>26</v>
      </c>
      <c r="D310" s="1" t="s">
        <v>27</v>
      </c>
      <c r="E310" s="1" t="s">
        <v>13</v>
      </c>
      <c r="F310" s="1" t="s">
        <v>56</v>
      </c>
      <c r="G310" s="1" t="s">
        <v>23</v>
      </c>
      <c r="H310">
        <v>1</v>
      </c>
      <c r="I310" s="1" t="s">
        <v>16</v>
      </c>
      <c r="J310">
        <v>597</v>
      </c>
      <c r="K310" s="1" t="s">
        <v>210</v>
      </c>
      <c r="L310" s="1" t="s">
        <v>80</v>
      </c>
      <c r="M310">
        <v>732101</v>
      </c>
      <c r="N310" s="1" t="s">
        <v>19</v>
      </c>
    </row>
    <row r="311" spans="1:14" x14ac:dyDescent="0.3">
      <c r="A311">
        <v>36985105</v>
      </c>
      <c r="B311" s="1" t="s">
        <v>23</v>
      </c>
      <c r="C311" s="1" t="s">
        <v>26</v>
      </c>
      <c r="D311" s="1" t="s">
        <v>27</v>
      </c>
      <c r="E311" s="1" t="s">
        <v>13</v>
      </c>
      <c r="F311" s="1" t="s">
        <v>56</v>
      </c>
      <c r="G311" s="1" t="s">
        <v>23</v>
      </c>
      <c r="H311">
        <v>1</v>
      </c>
      <c r="I311" s="1" t="s">
        <v>16</v>
      </c>
      <c r="J311">
        <v>692</v>
      </c>
      <c r="K311" s="1" t="s">
        <v>211</v>
      </c>
      <c r="L311" s="1" t="s">
        <v>87</v>
      </c>
      <c r="M311">
        <v>797112</v>
      </c>
      <c r="N311" s="1" t="s">
        <v>19</v>
      </c>
    </row>
    <row r="312" spans="1:14" x14ac:dyDescent="0.3">
      <c r="A312">
        <v>14007556</v>
      </c>
      <c r="B312" s="1" t="s">
        <v>23</v>
      </c>
      <c r="C312" s="1" t="s">
        <v>26</v>
      </c>
      <c r="D312" s="1" t="s">
        <v>27</v>
      </c>
      <c r="E312" s="1" t="s">
        <v>13</v>
      </c>
      <c r="F312" s="1" t="s">
        <v>22</v>
      </c>
      <c r="G312" s="1" t="s">
        <v>23</v>
      </c>
      <c r="H312">
        <v>1</v>
      </c>
      <c r="I312" s="1" t="s">
        <v>16</v>
      </c>
      <c r="J312">
        <v>1999</v>
      </c>
      <c r="K312" s="1" t="s">
        <v>212</v>
      </c>
      <c r="L312" s="1" t="s">
        <v>48</v>
      </c>
      <c r="M312">
        <v>524314</v>
      </c>
      <c r="N312" s="1" t="s">
        <v>19</v>
      </c>
    </row>
    <row r="313" spans="1:14" x14ac:dyDescent="0.3">
      <c r="A313">
        <v>23581165</v>
      </c>
      <c r="B313" s="1" t="s">
        <v>23</v>
      </c>
      <c r="C313" s="1" t="s">
        <v>26</v>
      </c>
      <c r="D313" s="1" t="s">
        <v>27</v>
      </c>
      <c r="E313" s="1" t="s">
        <v>13</v>
      </c>
      <c r="F313" s="1" t="s">
        <v>41</v>
      </c>
      <c r="G313" s="1" t="s">
        <v>23</v>
      </c>
      <c r="H313">
        <v>1</v>
      </c>
      <c r="I313" s="1" t="s">
        <v>16</v>
      </c>
      <c r="J313">
        <v>824</v>
      </c>
      <c r="K313" s="1" t="s">
        <v>32</v>
      </c>
      <c r="L313" s="1" t="s">
        <v>32</v>
      </c>
      <c r="M313">
        <v>605008</v>
      </c>
      <c r="N313" s="1" t="s">
        <v>19</v>
      </c>
    </row>
    <row r="314" spans="1:14" x14ac:dyDescent="0.3">
      <c r="A314">
        <v>61220349</v>
      </c>
      <c r="B314" s="1" t="s">
        <v>23</v>
      </c>
      <c r="C314" s="1" t="s">
        <v>26</v>
      </c>
      <c r="D314" s="1" t="s">
        <v>27</v>
      </c>
      <c r="E314" s="1" t="s">
        <v>21</v>
      </c>
      <c r="F314" s="1" t="s">
        <v>43</v>
      </c>
      <c r="G314" s="1" t="s">
        <v>23</v>
      </c>
      <c r="H314">
        <v>1</v>
      </c>
      <c r="I314" s="1" t="s">
        <v>16</v>
      </c>
      <c r="J314">
        <v>399</v>
      </c>
      <c r="K314" s="1" t="s">
        <v>213</v>
      </c>
      <c r="L314" s="1" t="s">
        <v>214</v>
      </c>
      <c r="M314">
        <v>403703</v>
      </c>
      <c r="N314" s="1" t="s">
        <v>19</v>
      </c>
    </row>
    <row r="315" spans="1:14" x14ac:dyDescent="0.3">
      <c r="A315">
        <v>15105927</v>
      </c>
      <c r="B315" s="1" t="s">
        <v>23</v>
      </c>
      <c r="C315" s="1" t="s">
        <v>26</v>
      </c>
      <c r="D315" s="1" t="s">
        <v>27</v>
      </c>
      <c r="E315" s="1" t="s">
        <v>21</v>
      </c>
      <c r="F315" s="1" t="s">
        <v>22</v>
      </c>
      <c r="G315" s="1" t="s">
        <v>23</v>
      </c>
      <c r="H315">
        <v>1</v>
      </c>
      <c r="I315" s="1" t="s">
        <v>16</v>
      </c>
      <c r="J315">
        <v>737</v>
      </c>
      <c r="K315" s="1" t="s">
        <v>209</v>
      </c>
      <c r="L315" s="1" t="s">
        <v>25</v>
      </c>
      <c r="M315">
        <v>577101</v>
      </c>
      <c r="N315" s="1" t="s">
        <v>19</v>
      </c>
    </row>
    <row r="316" spans="1:14" x14ac:dyDescent="0.3">
      <c r="A316">
        <v>93743511</v>
      </c>
      <c r="B316" s="1" t="s">
        <v>23</v>
      </c>
      <c r="C316" s="1" t="s">
        <v>26</v>
      </c>
      <c r="D316" s="1" t="s">
        <v>27</v>
      </c>
      <c r="E316" s="1" t="s">
        <v>21</v>
      </c>
      <c r="F316" s="1" t="s">
        <v>28</v>
      </c>
      <c r="G316" s="1" t="s">
        <v>23</v>
      </c>
      <c r="H316">
        <v>1</v>
      </c>
      <c r="I316" s="1" t="s">
        <v>16</v>
      </c>
      <c r="J316">
        <v>399</v>
      </c>
      <c r="K316" s="1" t="s">
        <v>189</v>
      </c>
      <c r="L316" s="1" t="s">
        <v>40</v>
      </c>
      <c r="M316">
        <v>500068</v>
      </c>
      <c r="N316" s="1" t="s">
        <v>19</v>
      </c>
    </row>
    <row r="317" spans="1:14" x14ac:dyDescent="0.3">
      <c r="A317">
        <v>51666728</v>
      </c>
      <c r="B317" s="1" t="s">
        <v>10</v>
      </c>
      <c r="C317" s="1" t="s">
        <v>26</v>
      </c>
      <c r="D317" s="1" t="s">
        <v>27</v>
      </c>
      <c r="E317" s="1" t="s">
        <v>13</v>
      </c>
      <c r="F317" s="1" t="s">
        <v>31</v>
      </c>
      <c r="G317" s="1" t="s">
        <v>116</v>
      </c>
      <c r="H317">
        <v>1</v>
      </c>
      <c r="I317" s="1" t="s">
        <v>16</v>
      </c>
      <c r="J317">
        <v>899</v>
      </c>
      <c r="K317" s="1" t="s">
        <v>44</v>
      </c>
      <c r="L317" s="1" t="s">
        <v>37</v>
      </c>
      <c r="M317">
        <v>201301</v>
      </c>
      <c r="N317" s="1" t="s">
        <v>19</v>
      </c>
    </row>
    <row r="318" spans="1:14" x14ac:dyDescent="0.3">
      <c r="A318">
        <v>93762757</v>
      </c>
      <c r="B318" s="1" t="s">
        <v>23</v>
      </c>
      <c r="C318" s="1" t="s">
        <v>26</v>
      </c>
      <c r="D318" s="1" t="s">
        <v>27</v>
      </c>
      <c r="E318" s="1" t="s">
        <v>21</v>
      </c>
      <c r="F318" s="1" t="s">
        <v>56</v>
      </c>
      <c r="G318" s="1" t="s">
        <v>23</v>
      </c>
      <c r="H318">
        <v>1</v>
      </c>
      <c r="I318" s="1" t="s">
        <v>16</v>
      </c>
      <c r="J318">
        <v>368</v>
      </c>
      <c r="K318" s="1" t="s">
        <v>65</v>
      </c>
      <c r="L318" s="1" t="s">
        <v>18</v>
      </c>
      <c r="M318">
        <v>411028</v>
      </c>
      <c r="N318" s="1" t="s">
        <v>19</v>
      </c>
    </row>
    <row r="319" spans="1:14" x14ac:dyDescent="0.3">
      <c r="A319">
        <v>68589107</v>
      </c>
      <c r="B319" s="1" t="s">
        <v>20</v>
      </c>
      <c r="C319" s="1" t="s">
        <v>11</v>
      </c>
      <c r="D319" s="1" t="s">
        <v>12</v>
      </c>
      <c r="E319" s="1" t="s">
        <v>21</v>
      </c>
      <c r="F319" s="1" t="s">
        <v>22</v>
      </c>
      <c r="G319" s="1" t="s">
        <v>23</v>
      </c>
      <c r="H319">
        <v>1</v>
      </c>
      <c r="I319" s="1" t="s">
        <v>16</v>
      </c>
      <c r="J319">
        <v>471</v>
      </c>
      <c r="K319" s="1" t="s">
        <v>215</v>
      </c>
      <c r="L319" s="1" t="s">
        <v>73</v>
      </c>
      <c r="M319">
        <v>695003</v>
      </c>
      <c r="N319" s="1" t="s">
        <v>19</v>
      </c>
    </row>
    <row r="320" spans="1:14" x14ac:dyDescent="0.3">
      <c r="A320">
        <v>36135505</v>
      </c>
      <c r="B320" s="1" t="s">
        <v>23</v>
      </c>
      <c r="C320" s="1" t="s">
        <v>26</v>
      </c>
      <c r="D320" s="1" t="s">
        <v>27</v>
      </c>
      <c r="E320" s="1" t="s">
        <v>21</v>
      </c>
      <c r="F320" s="1" t="s">
        <v>31</v>
      </c>
      <c r="G320" s="1" t="s">
        <v>23</v>
      </c>
      <c r="H320">
        <v>1</v>
      </c>
      <c r="I320" s="1" t="s">
        <v>16</v>
      </c>
      <c r="J320">
        <v>399</v>
      </c>
      <c r="K320" s="1" t="s">
        <v>216</v>
      </c>
      <c r="L320" s="1" t="s">
        <v>37</v>
      </c>
      <c r="M320">
        <v>208027</v>
      </c>
      <c r="N320" s="1" t="s">
        <v>19</v>
      </c>
    </row>
    <row r="321" spans="1:14" x14ac:dyDescent="0.3">
      <c r="A321">
        <v>2118707</v>
      </c>
      <c r="B321" s="1" t="s">
        <v>23</v>
      </c>
      <c r="C321" s="1" t="s">
        <v>26</v>
      </c>
      <c r="D321" s="1" t="s">
        <v>27</v>
      </c>
      <c r="E321" s="1" t="s">
        <v>21</v>
      </c>
      <c r="F321" s="1" t="s">
        <v>14</v>
      </c>
      <c r="G321" s="1" t="s">
        <v>23</v>
      </c>
      <c r="H321">
        <v>1</v>
      </c>
      <c r="I321" s="1" t="s">
        <v>16</v>
      </c>
      <c r="J321">
        <v>376</v>
      </c>
      <c r="K321" s="1" t="s">
        <v>217</v>
      </c>
      <c r="L321" s="1" t="s">
        <v>35</v>
      </c>
      <c r="M321">
        <v>624301</v>
      </c>
      <c r="N321" s="1" t="s">
        <v>19</v>
      </c>
    </row>
    <row r="322" spans="1:14" x14ac:dyDescent="0.3">
      <c r="A322">
        <v>81734719</v>
      </c>
      <c r="B322" s="1" t="s">
        <v>20</v>
      </c>
      <c r="C322" s="1" t="s">
        <v>11</v>
      </c>
      <c r="D322" s="1" t="s">
        <v>12</v>
      </c>
      <c r="E322" s="1" t="s">
        <v>21</v>
      </c>
      <c r="F322" s="1" t="s">
        <v>28</v>
      </c>
      <c r="G322" s="1" t="s">
        <v>23</v>
      </c>
      <c r="H322">
        <v>1</v>
      </c>
      <c r="I322" s="1" t="s">
        <v>16</v>
      </c>
      <c r="J322">
        <v>544</v>
      </c>
      <c r="K322" s="1" t="s">
        <v>24</v>
      </c>
      <c r="L322" s="1" t="s">
        <v>25</v>
      </c>
      <c r="M322">
        <v>560072</v>
      </c>
      <c r="N322" s="1" t="s">
        <v>19</v>
      </c>
    </row>
    <row r="323" spans="1:14" x14ac:dyDescent="0.3">
      <c r="A323">
        <v>32176339</v>
      </c>
      <c r="B323" s="1" t="s">
        <v>23</v>
      </c>
      <c r="C323" s="1" t="s">
        <v>26</v>
      </c>
      <c r="D323" s="1" t="s">
        <v>27</v>
      </c>
      <c r="E323" s="1" t="s">
        <v>21</v>
      </c>
      <c r="F323" s="1" t="s">
        <v>31</v>
      </c>
      <c r="G323" s="1" t="s">
        <v>23</v>
      </c>
      <c r="H323">
        <v>1</v>
      </c>
      <c r="I323" s="1" t="s">
        <v>16</v>
      </c>
      <c r="J323">
        <v>499</v>
      </c>
      <c r="K323" s="1" t="s">
        <v>39</v>
      </c>
      <c r="L323" s="1" t="s">
        <v>40</v>
      </c>
      <c r="M323">
        <v>500073</v>
      </c>
      <c r="N323" s="1" t="s">
        <v>19</v>
      </c>
    </row>
    <row r="324" spans="1:14" x14ac:dyDescent="0.3">
      <c r="A324">
        <v>24057954</v>
      </c>
      <c r="B324" s="1" t="s">
        <v>23</v>
      </c>
      <c r="C324" s="1" t="s">
        <v>26</v>
      </c>
      <c r="D324" s="1" t="s">
        <v>27</v>
      </c>
      <c r="E324" s="1" t="s">
        <v>33</v>
      </c>
      <c r="F324" s="1" t="s">
        <v>43</v>
      </c>
      <c r="G324" s="1" t="s">
        <v>23</v>
      </c>
      <c r="H324">
        <v>1</v>
      </c>
      <c r="I324" s="1" t="s">
        <v>16</v>
      </c>
      <c r="J324">
        <v>426</v>
      </c>
      <c r="K324" s="1" t="s">
        <v>24</v>
      </c>
      <c r="L324" s="1" t="s">
        <v>25</v>
      </c>
      <c r="M324">
        <v>560100</v>
      </c>
      <c r="N324" s="1" t="s">
        <v>19</v>
      </c>
    </row>
    <row r="325" spans="1:14" x14ac:dyDescent="0.3">
      <c r="A325">
        <v>8084361</v>
      </c>
      <c r="B325" s="1" t="s">
        <v>23</v>
      </c>
      <c r="C325" s="1" t="s">
        <v>26</v>
      </c>
      <c r="D325" s="1" t="s">
        <v>27</v>
      </c>
      <c r="E325" s="1" t="s">
        <v>21</v>
      </c>
      <c r="F325" s="1" t="s">
        <v>28</v>
      </c>
      <c r="G325" s="1" t="s">
        <v>23</v>
      </c>
      <c r="H325">
        <v>1</v>
      </c>
      <c r="I325" s="1" t="s">
        <v>16</v>
      </c>
      <c r="J325">
        <v>399</v>
      </c>
      <c r="K325" s="1" t="s">
        <v>24</v>
      </c>
      <c r="L325" s="1" t="s">
        <v>25</v>
      </c>
      <c r="M325">
        <v>560072</v>
      </c>
      <c r="N325" s="1" t="s">
        <v>19</v>
      </c>
    </row>
    <row r="326" spans="1:14" x14ac:dyDescent="0.3">
      <c r="A326">
        <v>1132331</v>
      </c>
      <c r="B326" s="1" t="s">
        <v>23</v>
      </c>
      <c r="C326" s="1" t="s">
        <v>26</v>
      </c>
      <c r="D326" s="1" t="s">
        <v>27</v>
      </c>
      <c r="E326" s="1" t="s">
        <v>13</v>
      </c>
      <c r="F326" s="1" t="s">
        <v>22</v>
      </c>
      <c r="G326" s="1" t="s">
        <v>23</v>
      </c>
      <c r="H326">
        <v>1</v>
      </c>
      <c r="I326" s="1" t="s">
        <v>16</v>
      </c>
      <c r="J326">
        <v>995</v>
      </c>
      <c r="K326" s="1" t="s">
        <v>51</v>
      </c>
      <c r="L326" s="1" t="s">
        <v>52</v>
      </c>
      <c r="M326">
        <v>110059</v>
      </c>
      <c r="N326" s="1" t="s">
        <v>19</v>
      </c>
    </row>
    <row r="327" spans="1:14" x14ac:dyDescent="0.3">
      <c r="A327">
        <v>53905937</v>
      </c>
      <c r="B327" s="1" t="s">
        <v>23</v>
      </c>
      <c r="C327" s="1" t="s">
        <v>26</v>
      </c>
      <c r="D327" s="1" t="s">
        <v>27</v>
      </c>
      <c r="E327" s="1" t="s">
        <v>21</v>
      </c>
      <c r="F327" s="1" t="s">
        <v>56</v>
      </c>
      <c r="G327" s="1" t="s">
        <v>23</v>
      </c>
      <c r="H327">
        <v>1</v>
      </c>
      <c r="I327" s="1" t="s">
        <v>16</v>
      </c>
      <c r="J327">
        <v>499</v>
      </c>
      <c r="K327" s="1" t="s">
        <v>218</v>
      </c>
      <c r="L327" s="1" t="s">
        <v>80</v>
      </c>
      <c r="M327">
        <v>700122</v>
      </c>
      <c r="N327" s="1" t="s">
        <v>19</v>
      </c>
    </row>
    <row r="328" spans="1:14" x14ac:dyDescent="0.3">
      <c r="A328">
        <v>64141949</v>
      </c>
      <c r="B328" s="1" t="s">
        <v>23</v>
      </c>
      <c r="C328" s="1" t="s">
        <v>26</v>
      </c>
      <c r="D328" s="1" t="s">
        <v>27</v>
      </c>
      <c r="E328" s="1" t="s">
        <v>13</v>
      </c>
      <c r="F328" s="1" t="s">
        <v>56</v>
      </c>
      <c r="G328" s="1" t="s">
        <v>23</v>
      </c>
      <c r="H328">
        <v>1</v>
      </c>
      <c r="I328" s="1" t="s">
        <v>16</v>
      </c>
      <c r="J328">
        <v>597</v>
      </c>
      <c r="K328" s="1" t="s">
        <v>219</v>
      </c>
      <c r="L328" s="1" t="s">
        <v>18</v>
      </c>
      <c r="M328">
        <v>421201</v>
      </c>
      <c r="N328" s="1" t="s">
        <v>19</v>
      </c>
    </row>
    <row r="329" spans="1:14" x14ac:dyDescent="0.3">
      <c r="A329">
        <v>90588335</v>
      </c>
      <c r="B329" s="1" t="s">
        <v>23</v>
      </c>
      <c r="C329" s="1" t="s">
        <v>26</v>
      </c>
      <c r="D329" s="1" t="s">
        <v>27</v>
      </c>
      <c r="E329" s="1" t="s">
        <v>21</v>
      </c>
      <c r="F329" s="1" t="s">
        <v>14</v>
      </c>
      <c r="G329" s="1" t="s">
        <v>23</v>
      </c>
      <c r="H329">
        <v>1</v>
      </c>
      <c r="I329" s="1" t="s">
        <v>16</v>
      </c>
      <c r="J329">
        <v>562</v>
      </c>
      <c r="K329" s="1" t="s">
        <v>51</v>
      </c>
      <c r="L329" s="1" t="s">
        <v>52</v>
      </c>
      <c r="M329">
        <v>110017</v>
      </c>
      <c r="N329" s="1" t="s">
        <v>19</v>
      </c>
    </row>
    <row r="330" spans="1:14" x14ac:dyDescent="0.3">
      <c r="A330">
        <v>56726703</v>
      </c>
      <c r="B330" s="1" t="s">
        <v>23</v>
      </c>
      <c r="C330" s="1" t="s">
        <v>26</v>
      </c>
      <c r="D330" s="1" t="s">
        <v>27</v>
      </c>
      <c r="E330" s="1" t="s">
        <v>21</v>
      </c>
      <c r="F330" s="1" t="s">
        <v>177</v>
      </c>
      <c r="G330" s="1" t="s">
        <v>23</v>
      </c>
      <c r="H330">
        <v>1</v>
      </c>
      <c r="I330" s="1" t="s">
        <v>16</v>
      </c>
      <c r="J330">
        <v>696</v>
      </c>
      <c r="K330" s="1" t="s">
        <v>105</v>
      </c>
      <c r="L330" s="1" t="s">
        <v>106</v>
      </c>
      <c r="M330">
        <v>801105</v>
      </c>
      <c r="N330" s="1" t="s">
        <v>19</v>
      </c>
    </row>
    <row r="331" spans="1:14" x14ac:dyDescent="0.3">
      <c r="A331">
        <v>16557144</v>
      </c>
      <c r="B331" s="1" t="s">
        <v>23</v>
      </c>
      <c r="C331" s="1" t="s">
        <v>26</v>
      </c>
      <c r="D331" s="1" t="s">
        <v>27</v>
      </c>
      <c r="E331" s="1" t="s">
        <v>13</v>
      </c>
      <c r="F331" s="1" t="s">
        <v>31</v>
      </c>
      <c r="G331" s="1" t="s">
        <v>23</v>
      </c>
      <c r="H331">
        <v>1</v>
      </c>
      <c r="I331" s="1" t="s">
        <v>16</v>
      </c>
      <c r="J331">
        <v>788</v>
      </c>
      <c r="K331" s="1" t="s">
        <v>189</v>
      </c>
      <c r="L331" s="1" t="s">
        <v>40</v>
      </c>
      <c r="M331">
        <v>500070</v>
      </c>
      <c r="N331" s="1" t="s">
        <v>19</v>
      </c>
    </row>
    <row r="332" spans="1:14" x14ac:dyDescent="0.3">
      <c r="A332">
        <v>98723509</v>
      </c>
      <c r="B332" s="1" t="s">
        <v>23</v>
      </c>
      <c r="C332" s="1" t="s">
        <v>26</v>
      </c>
      <c r="D332" s="1" t="s">
        <v>27</v>
      </c>
      <c r="E332" s="1" t="s">
        <v>21</v>
      </c>
      <c r="F332" s="1" t="s">
        <v>56</v>
      </c>
      <c r="G332" s="1" t="s">
        <v>23</v>
      </c>
      <c r="H332">
        <v>1</v>
      </c>
      <c r="I332" s="1" t="s">
        <v>16</v>
      </c>
      <c r="J332">
        <v>399</v>
      </c>
      <c r="K332" s="1" t="s">
        <v>220</v>
      </c>
      <c r="L332" s="1" t="s">
        <v>52</v>
      </c>
      <c r="M332">
        <v>110085</v>
      </c>
      <c r="N332" s="1" t="s">
        <v>19</v>
      </c>
    </row>
    <row r="333" spans="1:14" x14ac:dyDescent="0.3">
      <c r="A333">
        <v>2175565</v>
      </c>
      <c r="B333" s="1" t="s">
        <v>23</v>
      </c>
      <c r="C333" s="1" t="s">
        <v>26</v>
      </c>
      <c r="D333" s="1" t="s">
        <v>27</v>
      </c>
      <c r="E333" s="1" t="s">
        <v>13</v>
      </c>
      <c r="F333" s="1" t="s">
        <v>41</v>
      </c>
      <c r="G333" s="1" t="s">
        <v>23</v>
      </c>
      <c r="H333">
        <v>1</v>
      </c>
      <c r="I333" s="1" t="s">
        <v>16</v>
      </c>
      <c r="J333">
        <v>1099</v>
      </c>
      <c r="K333" s="1" t="s">
        <v>150</v>
      </c>
      <c r="L333" s="1" t="s">
        <v>80</v>
      </c>
      <c r="M333">
        <v>700135</v>
      </c>
      <c r="N333" s="1" t="s">
        <v>19</v>
      </c>
    </row>
    <row r="334" spans="1:14" x14ac:dyDescent="0.3">
      <c r="A334">
        <v>75457950</v>
      </c>
      <c r="B334" s="1" t="s">
        <v>23</v>
      </c>
      <c r="C334" s="1" t="s">
        <v>26</v>
      </c>
      <c r="D334" s="1" t="s">
        <v>27</v>
      </c>
      <c r="E334" s="1" t="s">
        <v>13</v>
      </c>
      <c r="F334" s="1" t="s">
        <v>22</v>
      </c>
      <c r="G334" s="1" t="s">
        <v>23</v>
      </c>
      <c r="H334">
        <v>1</v>
      </c>
      <c r="I334" s="1" t="s">
        <v>16</v>
      </c>
      <c r="J334">
        <v>476</v>
      </c>
      <c r="K334" s="1" t="s">
        <v>39</v>
      </c>
      <c r="L334" s="1" t="s">
        <v>40</v>
      </c>
      <c r="M334">
        <v>502319</v>
      </c>
      <c r="N334" s="1" t="s">
        <v>19</v>
      </c>
    </row>
    <row r="335" spans="1:14" x14ac:dyDescent="0.3">
      <c r="A335">
        <v>95674715</v>
      </c>
      <c r="B335" s="1" t="s">
        <v>173</v>
      </c>
      <c r="C335" s="1" t="s">
        <v>11</v>
      </c>
      <c r="D335" s="1" t="s">
        <v>12</v>
      </c>
      <c r="E335" s="1" t="s">
        <v>30</v>
      </c>
      <c r="F335" s="1" t="s">
        <v>56</v>
      </c>
      <c r="G335" s="1" t="s">
        <v>23</v>
      </c>
      <c r="H335">
        <v>1</v>
      </c>
      <c r="I335" s="1" t="s">
        <v>16</v>
      </c>
      <c r="J335">
        <v>0</v>
      </c>
      <c r="K335" s="1" t="s">
        <v>51</v>
      </c>
      <c r="L335" s="1" t="s">
        <v>52</v>
      </c>
      <c r="M335">
        <v>110096</v>
      </c>
      <c r="N335" s="1" t="s">
        <v>19</v>
      </c>
    </row>
    <row r="336" spans="1:14" x14ac:dyDescent="0.3">
      <c r="A336">
        <v>33094732</v>
      </c>
      <c r="B336" s="1" t="s">
        <v>20</v>
      </c>
      <c r="C336" s="1" t="s">
        <v>11</v>
      </c>
      <c r="D336" s="1" t="s">
        <v>12</v>
      </c>
      <c r="E336" s="1" t="s">
        <v>30</v>
      </c>
      <c r="F336" s="1" t="s">
        <v>31</v>
      </c>
      <c r="G336" s="1" t="s">
        <v>23</v>
      </c>
      <c r="H336">
        <v>1</v>
      </c>
      <c r="I336" s="1" t="s">
        <v>16</v>
      </c>
      <c r="J336">
        <v>885</v>
      </c>
      <c r="K336" s="1" t="s">
        <v>167</v>
      </c>
      <c r="L336" s="1" t="s">
        <v>59</v>
      </c>
      <c r="M336">
        <v>785667</v>
      </c>
      <c r="N336" s="1" t="s">
        <v>19</v>
      </c>
    </row>
    <row r="337" spans="1:14" x14ac:dyDescent="0.3">
      <c r="A337">
        <v>80571517</v>
      </c>
      <c r="B337" s="1" t="s">
        <v>23</v>
      </c>
      <c r="C337" s="1" t="s">
        <v>26</v>
      </c>
      <c r="D337" s="1" t="s">
        <v>27</v>
      </c>
      <c r="E337" s="1" t="s">
        <v>13</v>
      </c>
      <c r="F337" s="1" t="s">
        <v>43</v>
      </c>
      <c r="G337" s="1" t="s">
        <v>23</v>
      </c>
      <c r="H337">
        <v>1</v>
      </c>
      <c r="I337" s="1" t="s">
        <v>16</v>
      </c>
      <c r="J337">
        <v>654</v>
      </c>
      <c r="K337" s="1" t="s">
        <v>157</v>
      </c>
      <c r="L337" s="1" t="s">
        <v>108</v>
      </c>
      <c r="M337">
        <v>180015</v>
      </c>
      <c r="N337" s="1" t="s">
        <v>19</v>
      </c>
    </row>
    <row r="338" spans="1:14" x14ac:dyDescent="0.3">
      <c r="A338">
        <v>12209965</v>
      </c>
      <c r="B338" s="1" t="s">
        <v>23</v>
      </c>
      <c r="C338" s="1" t="s">
        <v>26</v>
      </c>
      <c r="D338" s="1" t="s">
        <v>27</v>
      </c>
      <c r="E338" s="1" t="s">
        <v>30</v>
      </c>
      <c r="F338" s="1" t="s">
        <v>28</v>
      </c>
      <c r="G338" s="1" t="s">
        <v>23</v>
      </c>
      <c r="H338">
        <v>1</v>
      </c>
      <c r="I338" s="1" t="s">
        <v>16</v>
      </c>
      <c r="J338">
        <v>625</v>
      </c>
      <c r="K338" s="1" t="s">
        <v>221</v>
      </c>
      <c r="L338" s="1" t="s">
        <v>18</v>
      </c>
      <c r="M338">
        <v>411019</v>
      </c>
      <c r="N338" s="1" t="s">
        <v>19</v>
      </c>
    </row>
    <row r="339" spans="1:14" x14ac:dyDescent="0.3">
      <c r="A339">
        <v>42207515</v>
      </c>
      <c r="B339" s="1" t="s">
        <v>20</v>
      </c>
      <c r="C339" s="1" t="s">
        <v>11</v>
      </c>
      <c r="D339" s="1" t="s">
        <v>12</v>
      </c>
      <c r="E339" s="1" t="s">
        <v>21</v>
      </c>
      <c r="F339" s="1" t="s">
        <v>46</v>
      </c>
      <c r="G339" s="1" t="s">
        <v>23</v>
      </c>
      <c r="H339">
        <v>1</v>
      </c>
      <c r="I339" s="1" t="s">
        <v>16</v>
      </c>
      <c r="J339">
        <v>505</v>
      </c>
      <c r="K339" s="1" t="s">
        <v>222</v>
      </c>
      <c r="L339" s="1" t="s">
        <v>73</v>
      </c>
      <c r="M339">
        <v>689695</v>
      </c>
      <c r="N339" s="1" t="s">
        <v>19</v>
      </c>
    </row>
    <row r="340" spans="1:14" x14ac:dyDescent="0.3">
      <c r="A340">
        <v>16600369</v>
      </c>
      <c r="B340" s="1" t="s">
        <v>23</v>
      </c>
      <c r="C340" s="1" t="s">
        <v>26</v>
      </c>
      <c r="D340" s="1" t="s">
        <v>27</v>
      </c>
      <c r="E340" s="1" t="s">
        <v>21</v>
      </c>
      <c r="F340" s="1" t="s">
        <v>46</v>
      </c>
      <c r="G340" s="1" t="s">
        <v>23</v>
      </c>
      <c r="H340">
        <v>1</v>
      </c>
      <c r="I340" s="1" t="s">
        <v>16</v>
      </c>
      <c r="J340">
        <v>563</v>
      </c>
      <c r="K340" s="1" t="s">
        <v>222</v>
      </c>
      <c r="L340" s="1" t="s">
        <v>73</v>
      </c>
      <c r="M340">
        <v>689695</v>
      </c>
      <c r="N340" s="1" t="s">
        <v>19</v>
      </c>
    </row>
    <row r="341" spans="1:14" x14ac:dyDescent="0.3">
      <c r="A341">
        <v>11717923</v>
      </c>
      <c r="B341" s="1" t="s">
        <v>10</v>
      </c>
      <c r="C341" s="1" t="s">
        <v>11</v>
      </c>
      <c r="D341" s="1" t="s">
        <v>12</v>
      </c>
      <c r="E341" s="1" t="s">
        <v>21</v>
      </c>
      <c r="F341" s="1" t="s">
        <v>56</v>
      </c>
      <c r="G341" s="1" t="s">
        <v>15</v>
      </c>
      <c r="H341">
        <v>2</v>
      </c>
      <c r="I341" s="1" t="s">
        <v>16</v>
      </c>
      <c r="J341">
        <v>345</v>
      </c>
      <c r="K341" s="1" t="s">
        <v>223</v>
      </c>
      <c r="L341" s="1" t="s">
        <v>37</v>
      </c>
      <c r="M341">
        <v>222001</v>
      </c>
      <c r="N341" s="1" t="s">
        <v>19</v>
      </c>
    </row>
    <row r="342" spans="1:14" x14ac:dyDescent="0.3">
      <c r="A342">
        <v>53273941</v>
      </c>
      <c r="B342" s="1" t="s">
        <v>20</v>
      </c>
      <c r="C342" s="1" t="s">
        <v>11</v>
      </c>
      <c r="D342" s="1" t="s">
        <v>12</v>
      </c>
      <c r="E342" s="1" t="s">
        <v>21</v>
      </c>
      <c r="F342" s="1" t="s">
        <v>28</v>
      </c>
      <c r="G342" s="1" t="s">
        <v>23</v>
      </c>
      <c r="H342">
        <v>1</v>
      </c>
      <c r="I342" s="1" t="s">
        <v>16</v>
      </c>
      <c r="J342">
        <v>666</v>
      </c>
      <c r="K342" s="1" t="s">
        <v>65</v>
      </c>
      <c r="L342" s="1" t="s">
        <v>18</v>
      </c>
      <c r="M342">
        <v>411047</v>
      </c>
      <c r="N342" s="1" t="s">
        <v>19</v>
      </c>
    </row>
    <row r="343" spans="1:14" x14ac:dyDescent="0.3">
      <c r="A343">
        <v>68263534</v>
      </c>
      <c r="B343" s="1" t="s">
        <v>20</v>
      </c>
      <c r="C343" s="1" t="s">
        <v>11</v>
      </c>
      <c r="D343" s="1" t="s">
        <v>12</v>
      </c>
      <c r="E343" s="1" t="s">
        <v>21</v>
      </c>
      <c r="F343" s="1" t="s">
        <v>14</v>
      </c>
      <c r="G343" s="1" t="s">
        <v>23</v>
      </c>
      <c r="H343">
        <v>1</v>
      </c>
      <c r="I343" s="1" t="s">
        <v>16</v>
      </c>
      <c r="J343">
        <v>399</v>
      </c>
      <c r="K343" s="1" t="s">
        <v>224</v>
      </c>
      <c r="L343" s="1" t="s">
        <v>40</v>
      </c>
      <c r="M343">
        <v>509001</v>
      </c>
      <c r="N343" s="1" t="s">
        <v>19</v>
      </c>
    </row>
    <row r="344" spans="1:14" x14ac:dyDescent="0.3">
      <c r="A344">
        <v>67391539</v>
      </c>
      <c r="B344" s="1" t="s">
        <v>20</v>
      </c>
      <c r="C344" s="1" t="s">
        <v>11</v>
      </c>
      <c r="D344" s="1" t="s">
        <v>12</v>
      </c>
      <c r="E344" s="1" t="s">
        <v>21</v>
      </c>
      <c r="F344" s="1" t="s">
        <v>14</v>
      </c>
      <c r="G344" s="1" t="s">
        <v>23</v>
      </c>
      <c r="H344">
        <v>1</v>
      </c>
      <c r="I344" s="1" t="s">
        <v>16</v>
      </c>
      <c r="J344">
        <v>432</v>
      </c>
      <c r="K344" s="1" t="s">
        <v>225</v>
      </c>
      <c r="L344" s="1" t="s">
        <v>100</v>
      </c>
      <c r="M344">
        <v>248198</v>
      </c>
      <c r="N344" s="1" t="s">
        <v>19</v>
      </c>
    </row>
    <row r="345" spans="1:14" x14ac:dyDescent="0.3">
      <c r="A345">
        <v>63167563</v>
      </c>
      <c r="B345" s="1" t="s">
        <v>23</v>
      </c>
      <c r="C345" s="1" t="s">
        <v>26</v>
      </c>
      <c r="D345" s="1" t="s">
        <v>12</v>
      </c>
      <c r="E345" s="1" t="s">
        <v>21</v>
      </c>
      <c r="F345" s="1" t="s">
        <v>31</v>
      </c>
      <c r="G345" s="1" t="s">
        <v>23</v>
      </c>
      <c r="H345">
        <v>1</v>
      </c>
      <c r="I345" s="1" t="s">
        <v>16</v>
      </c>
      <c r="J345">
        <v>0</v>
      </c>
      <c r="K345" s="1" t="s">
        <v>226</v>
      </c>
      <c r="L345" s="1" t="s">
        <v>80</v>
      </c>
      <c r="M345">
        <v>734101</v>
      </c>
      <c r="N345" s="1" t="s">
        <v>19</v>
      </c>
    </row>
    <row r="346" spans="1:14" x14ac:dyDescent="0.3">
      <c r="A346">
        <v>62061139</v>
      </c>
      <c r="B346" s="1" t="s">
        <v>23</v>
      </c>
      <c r="C346" s="1" t="s">
        <v>26</v>
      </c>
      <c r="D346" s="1" t="s">
        <v>27</v>
      </c>
      <c r="E346" s="1" t="s">
        <v>13</v>
      </c>
      <c r="F346" s="1" t="s">
        <v>22</v>
      </c>
      <c r="G346" s="1" t="s">
        <v>23</v>
      </c>
      <c r="H346">
        <v>1</v>
      </c>
      <c r="I346" s="1" t="s">
        <v>16</v>
      </c>
      <c r="J346">
        <v>1099</v>
      </c>
      <c r="K346" s="1" t="s">
        <v>60</v>
      </c>
      <c r="L346" s="1" t="s">
        <v>61</v>
      </c>
      <c r="M346">
        <v>834001</v>
      </c>
      <c r="N346" s="1" t="s">
        <v>19</v>
      </c>
    </row>
    <row r="347" spans="1:14" x14ac:dyDescent="0.3">
      <c r="A347">
        <v>28869139</v>
      </c>
      <c r="B347" s="1" t="s">
        <v>23</v>
      </c>
      <c r="C347" s="1" t="s">
        <v>26</v>
      </c>
      <c r="D347" s="1" t="s">
        <v>27</v>
      </c>
      <c r="E347" s="1" t="s">
        <v>21</v>
      </c>
      <c r="F347" s="1" t="s">
        <v>22</v>
      </c>
      <c r="G347" s="1" t="s">
        <v>23</v>
      </c>
      <c r="H347">
        <v>1</v>
      </c>
      <c r="I347" s="1" t="s">
        <v>16</v>
      </c>
      <c r="J347">
        <v>353</v>
      </c>
      <c r="K347" s="1" t="s">
        <v>24</v>
      </c>
      <c r="L347" s="1" t="s">
        <v>25</v>
      </c>
      <c r="M347">
        <v>560019</v>
      </c>
      <c r="N347" s="1" t="s">
        <v>19</v>
      </c>
    </row>
    <row r="348" spans="1:14" x14ac:dyDescent="0.3">
      <c r="A348">
        <v>98745937</v>
      </c>
      <c r="B348" s="1" t="s">
        <v>20</v>
      </c>
      <c r="C348" s="1" t="s">
        <v>11</v>
      </c>
      <c r="D348" s="1" t="s">
        <v>12</v>
      </c>
      <c r="E348" s="1" t="s">
        <v>30</v>
      </c>
      <c r="F348" s="1" t="s">
        <v>43</v>
      </c>
      <c r="G348" s="1" t="s">
        <v>23</v>
      </c>
      <c r="H348">
        <v>1</v>
      </c>
      <c r="I348" s="1" t="s">
        <v>16</v>
      </c>
      <c r="J348">
        <v>0</v>
      </c>
      <c r="K348" s="1" t="s">
        <v>227</v>
      </c>
      <c r="L348" s="1" t="s">
        <v>120</v>
      </c>
      <c r="M348">
        <v>141001</v>
      </c>
      <c r="N348" s="1" t="s">
        <v>19</v>
      </c>
    </row>
    <row r="349" spans="1:14" x14ac:dyDescent="0.3">
      <c r="A349">
        <v>2566738</v>
      </c>
      <c r="B349" s="1" t="s">
        <v>23</v>
      </c>
      <c r="C349" s="1" t="s">
        <v>26</v>
      </c>
      <c r="D349" s="1" t="s">
        <v>27</v>
      </c>
      <c r="E349" s="1" t="s">
        <v>13</v>
      </c>
      <c r="F349" s="1" t="s">
        <v>56</v>
      </c>
      <c r="G349" s="1" t="s">
        <v>23</v>
      </c>
      <c r="H349">
        <v>1</v>
      </c>
      <c r="I349" s="1" t="s">
        <v>16</v>
      </c>
      <c r="J349">
        <v>563</v>
      </c>
      <c r="K349" s="1" t="s">
        <v>24</v>
      </c>
      <c r="L349" s="1" t="s">
        <v>25</v>
      </c>
      <c r="M349">
        <v>560076</v>
      </c>
      <c r="N349" s="1" t="s">
        <v>19</v>
      </c>
    </row>
    <row r="350" spans="1:14" x14ac:dyDescent="0.3">
      <c r="A350">
        <v>24271522</v>
      </c>
      <c r="B350" s="1" t="s">
        <v>23</v>
      </c>
      <c r="C350" s="1" t="s">
        <v>26</v>
      </c>
      <c r="D350" s="1" t="s">
        <v>27</v>
      </c>
      <c r="E350" s="1" t="s">
        <v>13</v>
      </c>
      <c r="F350" s="1" t="s">
        <v>41</v>
      </c>
      <c r="G350" s="1" t="s">
        <v>23</v>
      </c>
      <c r="H350">
        <v>1</v>
      </c>
      <c r="I350" s="1" t="s">
        <v>16</v>
      </c>
      <c r="J350">
        <v>788</v>
      </c>
      <c r="K350" s="1" t="s">
        <v>39</v>
      </c>
      <c r="L350" s="1" t="s">
        <v>40</v>
      </c>
      <c r="M350">
        <v>500043</v>
      </c>
      <c r="N350" s="1" t="s">
        <v>19</v>
      </c>
    </row>
    <row r="351" spans="1:14" x14ac:dyDescent="0.3">
      <c r="A351">
        <v>82642751</v>
      </c>
      <c r="B351" s="1" t="s">
        <v>23</v>
      </c>
      <c r="C351" s="1" t="s">
        <v>26</v>
      </c>
      <c r="D351" s="1" t="s">
        <v>27</v>
      </c>
      <c r="E351" s="1" t="s">
        <v>13</v>
      </c>
      <c r="F351" s="1" t="s">
        <v>56</v>
      </c>
      <c r="G351" s="1" t="s">
        <v>23</v>
      </c>
      <c r="H351">
        <v>1</v>
      </c>
      <c r="I351" s="1" t="s">
        <v>16</v>
      </c>
      <c r="J351">
        <v>654</v>
      </c>
      <c r="K351" s="1" t="s">
        <v>228</v>
      </c>
      <c r="L351" s="1" t="s">
        <v>106</v>
      </c>
      <c r="M351">
        <v>842002</v>
      </c>
      <c r="N351" s="1" t="s">
        <v>19</v>
      </c>
    </row>
    <row r="352" spans="1:14" x14ac:dyDescent="0.3">
      <c r="A352">
        <v>57526753</v>
      </c>
      <c r="B352" s="1" t="s">
        <v>23</v>
      </c>
      <c r="C352" s="1" t="s">
        <v>26</v>
      </c>
      <c r="D352" s="1" t="s">
        <v>27</v>
      </c>
      <c r="E352" s="1" t="s">
        <v>13</v>
      </c>
      <c r="F352" s="1" t="s">
        <v>31</v>
      </c>
      <c r="G352" s="1" t="s">
        <v>23</v>
      </c>
      <c r="H352">
        <v>1</v>
      </c>
      <c r="I352" s="1" t="s">
        <v>16</v>
      </c>
      <c r="J352">
        <v>0</v>
      </c>
      <c r="K352" s="1" t="s">
        <v>17</v>
      </c>
      <c r="L352" s="1" t="s">
        <v>18</v>
      </c>
      <c r="M352">
        <v>400101</v>
      </c>
      <c r="N352" s="1" t="s">
        <v>19</v>
      </c>
    </row>
    <row r="353" spans="1:14" x14ac:dyDescent="0.3">
      <c r="A353">
        <v>49667560</v>
      </c>
      <c r="B353" s="1" t="s">
        <v>23</v>
      </c>
      <c r="C353" s="1" t="s">
        <v>26</v>
      </c>
      <c r="D353" s="1" t="s">
        <v>27</v>
      </c>
      <c r="E353" s="1" t="s">
        <v>21</v>
      </c>
      <c r="F353" s="1" t="s">
        <v>22</v>
      </c>
      <c r="G353" s="1" t="s">
        <v>23</v>
      </c>
      <c r="H353">
        <v>1</v>
      </c>
      <c r="I353" s="1" t="s">
        <v>16</v>
      </c>
      <c r="J353">
        <v>399</v>
      </c>
      <c r="K353" s="1" t="s">
        <v>82</v>
      </c>
      <c r="L353" s="1" t="s">
        <v>40</v>
      </c>
      <c r="M353">
        <v>500011</v>
      </c>
      <c r="N353" s="1" t="s">
        <v>19</v>
      </c>
    </row>
    <row r="354" spans="1:14" x14ac:dyDescent="0.3">
      <c r="A354">
        <v>93466719</v>
      </c>
      <c r="B354" s="1" t="s">
        <v>23</v>
      </c>
      <c r="C354" s="1" t="s">
        <v>26</v>
      </c>
      <c r="D354" s="1" t="s">
        <v>27</v>
      </c>
      <c r="E354" s="1" t="s">
        <v>13</v>
      </c>
      <c r="F354" s="1" t="s">
        <v>31</v>
      </c>
      <c r="G354" s="1" t="s">
        <v>23</v>
      </c>
      <c r="H354">
        <v>1</v>
      </c>
      <c r="I354" s="1" t="s">
        <v>16</v>
      </c>
      <c r="J354">
        <v>696</v>
      </c>
      <c r="K354" s="1" t="s">
        <v>229</v>
      </c>
      <c r="L354" s="1" t="s">
        <v>37</v>
      </c>
      <c r="M354">
        <v>231216</v>
      </c>
      <c r="N354" s="1" t="s">
        <v>19</v>
      </c>
    </row>
    <row r="355" spans="1:14" x14ac:dyDescent="0.3">
      <c r="A355">
        <v>53877133</v>
      </c>
      <c r="B355" s="1" t="s">
        <v>23</v>
      </c>
      <c r="C355" s="1" t="s">
        <v>26</v>
      </c>
      <c r="D355" s="1" t="s">
        <v>27</v>
      </c>
      <c r="E355" s="1" t="s">
        <v>13</v>
      </c>
      <c r="F355" s="1" t="s">
        <v>41</v>
      </c>
      <c r="G355" s="1" t="s">
        <v>23</v>
      </c>
      <c r="H355">
        <v>1</v>
      </c>
      <c r="I355" s="1" t="s">
        <v>16</v>
      </c>
      <c r="J355">
        <v>1112</v>
      </c>
      <c r="K355" s="1" t="s">
        <v>68</v>
      </c>
      <c r="L355" s="1" t="s">
        <v>37</v>
      </c>
      <c r="M355">
        <v>226010</v>
      </c>
      <c r="N355" s="1" t="s">
        <v>19</v>
      </c>
    </row>
    <row r="356" spans="1:14" x14ac:dyDescent="0.3">
      <c r="A356">
        <v>74501935</v>
      </c>
      <c r="B356" s="1" t="s">
        <v>23</v>
      </c>
      <c r="C356" s="1" t="s">
        <v>26</v>
      </c>
      <c r="D356" s="1" t="s">
        <v>27</v>
      </c>
      <c r="E356" s="1" t="s">
        <v>21</v>
      </c>
      <c r="F356" s="1" t="s">
        <v>22</v>
      </c>
      <c r="G356" s="1" t="s">
        <v>23</v>
      </c>
      <c r="H356">
        <v>1</v>
      </c>
      <c r="I356" s="1" t="s">
        <v>16</v>
      </c>
      <c r="J356">
        <v>517</v>
      </c>
      <c r="K356" s="1" t="s">
        <v>230</v>
      </c>
      <c r="L356" s="1" t="s">
        <v>48</v>
      </c>
      <c r="M356">
        <v>533003</v>
      </c>
      <c r="N356" s="1" t="s">
        <v>19</v>
      </c>
    </row>
    <row r="357" spans="1:14" x14ac:dyDescent="0.3">
      <c r="A357">
        <v>87969167</v>
      </c>
      <c r="B357" s="1" t="s">
        <v>23</v>
      </c>
      <c r="C357" s="1" t="s">
        <v>26</v>
      </c>
      <c r="D357" s="1" t="s">
        <v>27</v>
      </c>
      <c r="E357" s="1" t="s">
        <v>13</v>
      </c>
      <c r="F357" s="1" t="s">
        <v>56</v>
      </c>
      <c r="G357" s="1" t="s">
        <v>23</v>
      </c>
      <c r="H357">
        <v>1</v>
      </c>
      <c r="I357" s="1" t="s">
        <v>16</v>
      </c>
      <c r="J357">
        <v>888</v>
      </c>
      <c r="K357" s="1" t="s">
        <v>230</v>
      </c>
      <c r="L357" s="1" t="s">
        <v>48</v>
      </c>
      <c r="M357">
        <v>533003</v>
      </c>
      <c r="N357" s="1" t="s">
        <v>19</v>
      </c>
    </row>
    <row r="358" spans="1:14" x14ac:dyDescent="0.3">
      <c r="A358">
        <v>77455529</v>
      </c>
      <c r="B358" s="1" t="s">
        <v>23</v>
      </c>
      <c r="C358" s="1" t="s">
        <v>26</v>
      </c>
      <c r="D358" s="1" t="s">
        <v>27</v>
      </c>
      <c r="E358" s="1" t="s">
        <v>13</v>
      </c>
      <c r="F358" s="1" t="s">
        <v>14</v>
      </c>
      <c r="G358" s="1" t="s">
        <v>23</v>
      </c>
      <c r="H358">
        <v>1</v>
      </c>
      <c r="I358" s="1" t="s">
        <v>16</v>
      </c>
      <c r="J358">
        <v>788</v>
      </c>
      <c r="K358" s="1" t="s">
        <v>231</v>
      </c>
      <c r="L358" s="1" t="s">
        <v>80</v>
      </c>
      <c r="M358">
        <v>721635</v>
      </c>
      <c r="N358" s="1" t="s">
        <v>19</v>
      </c>
    </row>
    <row r="359" spans="1:14" x14ac:dyDescent="0.3">
      <c r="A359">
        <v>27366725</v>
      </c>
      <c r="B359" s="1" t="s">
        <v>10</v>
      </c>
      <c r="C359" s="1" t="s">
        <v>11</v>
      </c>
      <c r="D359" s="1" t="s">
        <v>12</v>
      </c>
      <c r="E359" s="1" t="s">
        <v>30</v>
      </c>
      <c r="F359" s="1" t="s">
        <v>41</v>
      </c>
      <c r="G359" s="1" t="s">
        <v>15</v>
      </c>
      <c r="H359">
        <v>2</v>
      </c>
      <c r="I359" s="1" t="s">
        <v>16</v>
      </c>
      <c r="J359">
        <v>734</v>
      </c>
      <c r="K359" s="1" t="s">
        <v>39</v>
      </c>
      <c r="L359" s="1" t="s">
        <v>40</v>
      </c>
      <c r="M359">
        <v>500056</v>
      </c>
      <c r="N359" s="1" t="s">
        <v>19</v>
      </c>
    </row>
    <row r="360" spans="1:14" x14ac:dyDescent="0.3">
      <c r="A360">
        <v>40017161</v>
      </c>
      <c r="B360" s="1" t="s">
        <v>23</v>
      </c>
      <c r="C360" s="1" t="s">
        <v>26</v>
      </c>
      <c r="D360" s="1" t="s">
        <v>27</v>
      </c>
      <c r="E360" s="1" t="s">
        <v>13</v>
      </c>
      <c r="F360" s="1" t="s">
        <v>14</v>
      </c>
      <c r="G360" s="1" t="s">
        <v>23</v>
      </c>
      <c r="H360">
        <v>1</v>
      </c>
      <c r="I360" s="1" t="s">
        <v>16</v>
      </c>
      <c r="J360">
        <v>788</v>
      </c>
      <c r="K360" s="1" t="s">
        <v>51</v>
      </c>
      <c r="L360" s="1" t="s">
        <v>52</v>
      </c>
      <c r="M360">
        <v>110016</v>
      </c>
      <c r="N360" s="1" t="s">
        <v>19</v>
      </c>
    </row>
    <row r="361" spans="1:14" x14ac:dyDescent="0.3">
      <c r="A361">
        <v>76381928</v>
      </c>
      <c r="B361" s="1" t="s">
        <v>23</v>
      </c>
      <c r="C361" s="1" t="s">
        <v>26</v>
      </c>
      <c r="D361" s="1" t="s">
        <v>27</v>
      </c>
      <c r="E361" s="1" t="s">
        <v>13</v>
      </c>
      <c r="F361" s="1" t="s">
        <v>56</v>
      </c>
      <c r="G361" s="1" t="s">
        <v>23</v>
      </c>
      <c r="H361">
        <v>1</v>
      </c>
      <c r="I361" s="1" t="s">
        <v>16</v>
      </c>
      <c r="J361">
        <v>654</v>
      </c>
      <c r="K361" s="1" t="s">
        <v>232</v>
      </c>
      <c r="L361" s="1" t="s">
        <v>214</v>
      </c>
      <c r="M361">
        <v>403502</v>
      </c>
      <c r="N361" s="1" t="s">
        <v>19</v>
      </c>
    </row>
    <row r="362" spans="1:14" x14ac:dyDescent="0.3">
      <c r="A362">
        <v>99672355</v>
      </c>
      <c r="B362" s="1" t="s">
        <v>23</v>
      </c>
      <c r="C362" s="1" t="s">
        <v>26</v>
      </c>
      <c r="D362" s="1" t="s">
        <v>27</v>
      </c>
      <c r="E362" s="1" t="s">
        <v>21</v>
      </c>
      <c r="F362" s="1" t="s">
        <v>31</v>
      </c>
      <c r="G362" s="1" t="s">
        <v>23</v>
      </c>
      <c r="H362">
        <v>1</v>
      </c>
      <c r="I362" s="1" t="s">
        <v>16</v>
      </c>
      <c r="J362">
        <v>518</v>
      </c>
      <c r="K362" s="1" t="s">
        <v>34</v>
      </c>
      <c r="L362" s="1" t="s">
        <v>35</v>
      </c>
      <c r="M362">
        <v>600024</v>
      </c>
      <c r="N362" s="1" t="s">
        <v>19</v>
      </c>
    </row>
    <row r="363" spans="1:14" x14ac:dyDescent="0.3">
      <c r="A363">
        <v>74573915</v>
      </c>
      <c r="B363" s="1" t="s">
        <v>23</v>
      </c>
      <c r="C363" s="1" t="s">
        <v>26</v>
      </c>
      <c r="D363" s="1" t="s">
        <v>27</v>
      </c>
      <c r="E363" s="1" t="s">
        <v>13</v>
      </c>
      <c r="F363" s="1" t="s">
        <v>41</v>
      </c>
      <c r="G363" s="1" t="s">
        <v>23</v>
      </c>
      <c r="H363">
        <v>1</v>
      </c>
      <c r="I363" s="1" t="s">
        <v>16</v>
      </c>
      <c r="J363">
        <v>626</v>
      </c>
      <c r="K363" s="1" t="s">
        <v>39</v>
      </c>
      <c r="L363" s="1" t="s">
        <v>40</v>
      </c>
      <c r="M363">
        <v>500053</v>
      </c>
      <c r="N363" s="1" t="s">
        <v>19</v>
      </c>
    </row>
    <row r="364" spans="1:14" x14ac:dyDescent="0.3">
      <c r="A364">
        <v>72013957</v>
      </c>
      <c r="B364" s="1" t="s">
        <v>23</v>
      </c>
      <c r="C364" s="1" t="s">
        <v>26</v>
      </c>
      <c r="D364" s="1" t="s">
        <v>27</v>
      </c>
      <c r="E364" s="1" t="s">
        <v>21</v>
      </c>
      <c r="F364" s="1" t="s">
        <v>46</v>
      </c>
      <c r="G364" s="1" t="s">
        <v>23</v>
      </c>
      <c r="H364">
        <v>1</v>
      </c>
      <c r="I364" s="1" t="s">
        <v>16</v>
      </c>
      <c r="J364">
        <v>534</v>
      </c>
      <c r="K364" s="1" t="s">
        <v>183</v>
      </c>
      <c r="L364" s="1" t="s">
        <v>37</v>
      </c>
      <c r="M364">
        <v>282001</v>
      </c>
      <c r="N364" s="1" t="s">
        <v>19</v>
      </c>
    </row>
    <row r="365" spans="1:14" x14ac:dyDescent="0.3">
      <c r="A365">
        <v>98990747</v>
      </c>
      <c r="B365" s="1" t="s">
        <v>23</v>
      </c>
      <c r="C365" s="1" t="s">
        <v>26</v>
      </c>
      <c r="D365" s="1" t="s">
        <v>27</v>
      </c>
      <c r="E365" s="1" t="s">
        <v>21</v>
      </c>
      <c r="F365" s="1" t="s">
        <v>56</v>
      </c>
      <c r="G365" s="1" t="s">
        <v>23</v>
      </c>
      <c r="H365">
        <v>1</v>
      </c>
      <c r="I365" s="1" t="s">
        <v>16</v>
      </c>
      <c r="J365">
        <v>475</v>
      </c>
      <c r="K365" s="1" t="s">
        <v>233</v>
      </c>
      <c r="L365" s="1" t="s">
        <v>93</v>
      </c>
      <c r="M365">
        <v>370465</v>
      </c>
      <c r="N365" s="1" t="s">
        <v>19</v>
      </c>
    </row>
    <row r="366" spans="1:14" x14ac:dyDescent="0.3">
      <c r="A366">
        <v>52004349</v>
      </c>
      <c r="B366" s="1" t="s">
        <v>23</v>
      </c>
      <c r="C366" s="1" t="s">
        <v>26</v>
      </c>
      <c r="D366" s="1" t="s">
        <v>27</v>
      </c>
      <c r="E366" s="1" t="s">
        <v>21</v>
      </c>
      <c r="F366" s="1" t="s">
        <v>28</v>
      </c>
      <c r="G366" s="1" t="s">
        <v>23</v>
      </c>
      <c r="H366">
        <v>1</v>
      </c>
      <c r="I366" s="1" t="s">
        <v>16</v>
      </c>
      <c r="J366">
        <v>549</v>
      </c>
      <c r="K366" s="1" t="s">
        <v>234</v>
      </c>
      <c r="L366" s="1" t="s">
        <v>71</v>
      </c>
      <c r="M366">
        <v>768004</v>
      </c>
      <c r="N366" s="1" t="s">
        <v>19</v>
      </c>
    </row>
    <row r="367" spans="1:14" x14ac:dyDescent="0.3">
      <c r="A367">
        <v>11030756</v>
      </c>
      <c r="B367" s="1" t="s">
        <v>23</v>
      </c>
      <c r="C367" s="1" t="s">
        <v>26</v>
      </c>
      <c r="D367" s="1" t="s">
        <v>27</v>
      </c>
      <c r="E367" s="1" t="s">
        <v>21</v>
      </c>
      <c r="F367" s="1" t="s">
        <v>31</v>
      </c>
      <c r="G367" s="1" t="s">
        <v>23</v>
      </c>
      <c r="H367">
        <v>1</v>
      </c>
      <c r="I367" s="1" t="s">
        <v>16</v>
      </c>
      <c r="J367">
        <v>518</v>
      </c>
      <c r="K367" s="1" t="s">
        <v>235</v>
      </c>
      <c r="L367" s="1" t="s">
        <v>35</v>
      </c>
      <c r="M367">
        <v>629701</v>
      </c>
      <c r="N367" s="1" t="s">
        <v>19</v>
      </c>
    </row>
    <row r="368" spans="1:14" x14ac:dyDescent="0.3">
      <c r="A368">
        <v>71800341</v>
      </c>
      <c r="B368" s="1" t="s">
        <v>20</v>
      </c>
      <c r="C368" s="1" t="s">
        <v>11</v>
      </c>
      <c r="D368" s="1" t="s">
        <v>12</v>
      </c>
      <c r="E368" s="1" t="s">
        <v>30</v>
      </c>
      <c r="F368" s="1" t="s">
        <v>43</v>
      </c>
      <c r="G368" s="1" t="s">
        <v>23</v>
      </c>
      <c r="H368">
        <v>1</v>
      </c>
      <c r="I368" s="1" t="s">
        <v>16</v>
      </c>
      <c r="J368">
        <v>725</v>
      </c>
      <c r="K368" s="1" t="s">
        <v>39</v>
      </c>
      <c r="L368" s="1" t="s">
        <v>40</v>
      </c>
      <c r="M368">
        <v>500094</v>
      </c>
      <c r="N368" s="1" t="s">
        <v>19</v>
      </c>
    </row>
    <row r="369" spans="1:14" x14ac:dyDescent="0.3">
      <c r="A369">
        <v>9073129</v>
      </c>
      <c r="B369" s="1" t="s">
        <v>10</v>
      </c>
      <c r="C369" s="1" t="s">
        <v>11</v>
      </c>
      <c r="D369" s="1" t="s">
        <v>12</v>
      </c>
      <c r="E369" s="1" t="s">
        <v>21</v>
      </c>
      <c r="F369" s="1" t="s">
        <v>28</v>
      </c>
      <c r="G369" s="1" t="s">
        <v>15</v>
      </c>
      <c r="H369">
        <v>2</v>
      </c>
      <c r="I369" s="1" t="s">
        <v>16</v>
      </c>
      <c r="J369">
        <v>437</v>
      </c>
      <c r="K369" s="1" t="s">
        <v>34</v>
      </c>
      <c r="L369" s="1" t="s">
        <v>35</v>
      </c>
      <c r="M369">
        <v>600091</v>
      </c>
      <c r="N369" s="1" t="s">
        <v>19</v>
      </c>
    </row>
    <row r="370" spans="1:14" x14ac:dyDescent="0.3">
      <c r="A370">
        <v>72082745</v>
      </c>
      <c r="B370" s="1" t="s">
        <v>23</v>
      </c>
      <c r="C370" s="1" t="s">
        <v>26</v>
      </c>
      <c r="D370" s="1" t="s">
        <v>27</v>
      </c>
      <c r="E370" s="1" t="s">
        <v>13</v>
      </c>
      <c r="F370" s="1" t="s">
        <v>41</v>
      </c>
      <c r="G370" s="1" t="s">
        <v>23</v>
      </c>
      <c r="H370">
        <v>1</v>
      </c>
      <c r="I370" s="1" t="s">
        <v>16</v>
      </c>
      <c r="J370">
        <v>1499</v>
      </c>
      <c r="K370" s="1" t="s">
        <v>189</v>
      </c>
      <c r="L370" s="1" t="s">
        <v>40</v>
      </c>
      <c r="M370">
        <v>500008</v>
      </c>
      <c r="N370" s="1" t="s">
        <v>19</v>
      </c>
    </row>
    <row r="371" spans="1:14" x14ac:dyDescent="0.3">
      <c r="A371">
        <v>77773106</v>
      </c>
      <c r="B371" s="1" t="s">
        <v>23</v>
      </c>
      <c r="C371" s="1" t="s">
        <v>26</v>
      </c>
      <c r="D371" s="1" t="s">
        <v>27</v>
      </c>
      <c r="E371" s="1" t="s">
        <v>21</v>
      </c>
      <c r="F371" s="1" t="s">
        <v>31</v>
      </c>
      <c r="G371" s="1" t="s">
        <v>23</v>
      </c>
      <c r="H371">
        <v>1</v>
      </c>
      <c r="I371" s="1" t="s">
        <v>16</v>
      </c>
      <c r="J371">
        <v>363</v>
      </c>
      <c r="K371" s="1" t="s">
        <v>24</v>
      </c>
      <c r="L371" s="1" t="s">
        <v>25</v>
      </c>
      <c r="M371">
        <v>560036</v>
      </c>
      <c r="N371" s="1" t="s">
        <v>19</v>
      </c>
    </row>
    <row r="372" spans="1:14" x14ac:dyDescent="0.3">
      <c r="A372">
        <v>44965152</v>
      </c>
      <c r="B372" s="1" t="s">
        <v>23</v>
      </c>
      <c r="C372" s="1" t="s">
        <v>26</v>
      </c>
      <c r="D372" s="1" t="s">
        <v>27</v>
      </c>
      <c r="E372" s="1" t="s">
        <v>21</v>
      </c>
      <c r="F372" s="1" t="s">
        <v>43</v>
      </c>
      <c r="G372" s="1" t="s">
        <v>23</v>
      </c>
      <c r="H372">
        <v>1</v>
      </c>
      <c r="I372" s="1" t="s">
        <v>16</v>
      </c>
      <c r="J372">
        <v>399</v>
      </c>
      <c r="K372" s="1" t="s">
        <v>236</v>
      </c>
      <c r="L372" s="1" t="s">
        <v>106</v>
      </c>
      <c r="M372">
        <v>854301</v>
      </c>
      <c r="N372" s="1" t="s">
        <v>19</v>
      </c>
    </row>
    <row r="373" spans="1:14" x14ac:dyDescent="0.3">
      <c r="A373">
        <v>93651542</v>
      </c>
      <c r="B373" s="1" t="s">
        <v>23</v>
      </c>
      <c r="C373" s="1" t="s">
        <v>26</v>
      </c>
      <c r="D373" s="1" t="s">
        <v>27</v>
      </c>
      <c r="E373" s="1" t="s">
        <v>21</v>
      </c>
      <c r="F373" s="1" t="s">
        <v>177</v>
      </c>
      <c r="G373" s="1" t="s">
        <v>23</v>
      </c>
      <c r="H373">
        <v>1</v>
      </c>
      <c r="I373" s="1" t="s">
        <v>16</v>
      </c>
      <c r="J373">
        <v>487</v>
      </c>
      <c r="K373" s="1" t="s">
        <v>191</v>
      </c>
      <c r="L373" s="1" t="s">
        <v>80</v>
      </c>
      <c r="M373">
        <v>700059</v>
      </c>
      <c r="N373" s="1" t="s">
        <v>19</v>
      </c>
    </row>
    <row r="374" spans="1:14" x14ac:dyDescent="0.3">
      <c r="A374">
        <v>50578768</v>
      </c>
      <c r="B374" s="1" t="s">
        <v>10</v>
      </c>
      <c r="C374" s="1" t="s">
        <v>26</v>
      </c>
      <c r="D374" s="1" t="s">
        <v>27</v>
      </c>
      <c r="E374" s="1" t="s">
        <v>13</v>
      </c>
      <c r="F374" s="1" t="s">
        <v>41</v>
      </c>
      <c r="G374" s="1" t="s">
        <v>116</v>
      </c>
      <c r="H374">
        <v>1</v>
      </c>
      <c r="I374" s="1" t="s">
        <v>16</v>
      </c>
      <c r="J374">
        <v>824</v>
      </c>
      <c r="K374" s="1" t="s">
        <v>32</v>
      </c>
      <c r="L374" s="1" t="s">
        <v>32</v>
      </c>
      <c r="M374">
        <v>605008</v>
      </c>
      <c r="N374" s="1" t="s">
        <v>19</v>
      </c>
    </row>
    <row r="375" spans="1:14" x14ac:dyDescent="0.3">
      <c r="A375">
        <v>30845133</v>
      </c>
      <c r="B375" s="1" t="s">
        <v>20</v>
      </c>
      <c r="C375" s="1" t="s">
        <v>11</v>
      </c>
      <c r="D375" s="1" t="s">
        <v>12</v>
      </c>
      <c r="E375" s="1" t="s">
        <v>21</v>
      </c>
      <c r="F375" s="1" t="s">
        <v>14</v>
      </c>
      <c r="G375" s="1" t="s">
        <v>23</v>
      </c>
      <c r="H375">
        <v>1</v>
      </c>
      <c r="I375" s="1" t="s">
        <v>16</v>
      </c>
      <c r="J375">
        <v>353</v>
      </c>
      <c r="K375" s="1" t="s">
        <v>205</v>
      </c>
      <c r="L375" s="1" t="s">
        <v>206</v>
      </c>
      <c r="M375">
        <v>793022</v>
      </c>
      <c r="N375" s="1" t="s">
        <v>19</v>
      </c>
    </row>
    <row r="376" spans="1:14" x14ac:dyDescent="0.3">
      <c r="A376">
        <v>78781155</v>
      </c>
      <c r="B376" s="1" t="s">
        <v>23</v>
      </c>
      <c r="C376" s="1" t="s">
        <v>26</v>
      </c>
      <c r="D376" s="1" t="s">
        <v>27</v>
      </c>
      <c r="E376" s="1" t="s">
        <v>33</v>
      </c>
      <c r="F376" s="1" t="s">
        <v>28</v>
      </c>
      <c r="G376" s="1" t="s">
        <v>23</v>
      </c>
      <c r="H376">
        <v>1</v>
      </c>
      <c r="I376" s="1" t="s">
        <v>16</v>
      </c>
      <c r="J376">
        <v>487</v>
      </c>
      <c r="K376" s="1" t="s">
        <v>65</v>
      </c>
      <c r="L376" s="1" t="s">
        <v>18</v>
      </c>
      <c r="M376">
        <v>411057</v>
      </c>
      <c r="N376" s="1" t="s">
        <v>19</v>
      </c>
    </row>
    <row r="377" spans="1:14" x14ac:dyDescent="0.3">
      <c r="A377">
        <v>44911514</v>
      </c>
      <c r="B377" s="1" t="s">
        <v>23</v>
      </c>
      <c r="C377" s="1" t="s">
        <v>26</v>
      </c>
      <c r="D377" s="1" t="s">
        <v>27</v>
      </c>
      <c r="E377" s="1" t="s">
        <v>13</v>
      </c>
      <c r="F377" s="1" t="s">
        <v>43</v>
      </c>
      <c r="G377" s="1" t="s">
        <v>23</v>
      </c>
      <c r="H377">
        <v>1</v>
      </c>
      <c r="I377" s="1" t="s">
        <v>16</v>
      </c>
      <c r="J377">
        <v>597</v>
      </c>
      <c r="K377" s="1" t="s">
        <v>237</v>
      </c>
      <c r="L377" s="1" t="s">
        <v>48</v>
      </c>
      <c r="M377">
        <v>534101</v>
      </c>
      <c r="N377" s="1" t="s">
        <v>19</v>
      </c>
    </row>
    <row r="378" spans="1:14" x14ac:dyDescent="0.3">
      <c r="A378">
        <v>47893108</v>
      </c>
      <c r="B378" s="1" t="s">
        <v>23</v>
      </c>
      <c r="C378" s="1" t="s">
        <v>26</v>
      </c>
      <c r="D378" s="1" t="s">
        <v>27</v>
      </c>
      <c r="E378" s="1" t="s">
        <v>13</v>
      </c>
      <c r="F378" s="1" t="s">
        <v>41</v>
      </c>
      <c r="G378" s="1" t="s">
        <v>23</v>
      </c>
      <c r="H378">
        <v>1</v>
      </c>
      <c r="I378" s="1" t="s">
        <v>16</v>
      </c>
      <c r="J378">
        <v>654</v>
      </c>
      <c r="K378" s="1" t="s">
        <v>238</v>
      </c>
      <c r="L378" s="1" t="s">
        <v>37</v>
      </c>
      <c r="M378">
        <v>201001</v>
      </c>
      <c r="N378" s="1" t="s">
        <v>19</v>
      </c>
    </row>
    <row r="379" spans="1:14" x14ac:dyDescent="0.3">
      <c r="A379">
        <v>75721965</v>
      </c>
      <c r="B379" s="1" t="s">
        <v>23</v>
      </c>
      <c r="C379" s="1" t="s">
        <v>26</v>
      </c>
      <c r="D379" s="1" t="s">
        <v>27</v>
      </c>
      <c r="E379" s="1" t="s">
        <v>13</v>
      </c>
      <c r="F379" s="1" t="s">
        <v>41</v>
      </c>
      <c r="G379" s="1" t="s">
        <v>23</v>
      </c>
      <c r="H379">
        <v>1</v>
      </c>
      <c r="I379" s="1" t="s">
        <v>16</v>
      </c>
      <c r="J379">
        <v>597</v>
      </c>
      <c r="K379" s="1" t="s">
        <v>39</v>
      </c>
      <c r="L379" s="1" t="s">
        <v>40</v>
      </c>
      <c r="M379">
        <v>500090</v>
      </c>
      <c r="N379" s="1" t="s">
        <v>19</v>
      </c>
    </row>
    <row r="380" spans="1:14" x14ac:dyDescent="0.3">
      <c r="A380">
        <v>63510737</v>
      </c>
      <c r="B380" s="1" t="s">
        <v>10</v>
      </c>
      <c r="C380" s="1" t="s">
        <v>26</v>
      </c>
      <c r="D380" s="1" t="s">
        <v>27</v>
      </c>
      <c r="E380" s="1" t="s">
        <v>21</v>
      </c>
      <c r="F380" s="1" t="s">
        <v>31</v>
      </c>
      <c r="G380" s="1" t="s">
        <v>116</v>
      </c>
      <c r="H380">
        <v>1</v>
      </c>
      <c r="I380" s="1" t="s">
        <v>16</v>
      </c>
      <c r="J380">
        <v>363</v>
      </c>
      <c r="K380" s="1" t="s">
        <v>24</v>
      </c>
      <c r="L380" s="1" t="s">
        <v>25</v>
      </c>
      <c r="M380">
        <v>560036</v>
      </c>
      <c r="N380" s="1" t="s">
        <v>19</v>
      </c>
    </row>
    <row r="381" spans="1:14" x14ac:dyDescent="0.3">
      <c r="A381">
        <v>96572340</v>
      </c>
      <c r="B381" s="1" t="s">
        <v>23</v>
      </c>
      <c r="C381" s="1" t="s">
        <v>26</v>
      </c>
      <c r="D381" s="1" t="s">
        <v>27</v>
      </c>
      <c r="E381" s="1" t="s">
        <v>21</v>
      </c>
      <c r="F381" s="1" t="s">
        <v>41</v>
      </c>
      <c r="G381" s="1" t="s">
        <v>23</v>
      </c>
      <c r="H381">
        <v>1</v>
      </c>
      <c r="I381" s="1" t="s">
        <v>16</v>
      </c>
      <c r="J381">
        <v>471</v>
      </c>
      <c r="K381" s="1" t="s">
        <v>112</v>
      </c>
      <c r="L381" s="1" t="s">
        <v>78</v>
      </c>
      <c r="M381">
        <v>474001</v>
      </c>
      <c r="N381" s="1" t="s">
        <v>19</v>
      </c>
    </row>
    <row r="382" spans="1:14" x14ac:dyDescent="0.3">
      <c r="A382">
        <v>23887551</v>
      </c>
      <c r="B382" s="1" t="s">
        <v>23</v>
      </c>
      <c r="C382" s="1" t="s">
        <v>26</v>
      </c>
      <c r="D382" s="1" t="s">
        <v>27</v>
      </c>
      <c r="E382" s="1" t="s">
        <v>30</v>
      </c>
      <c r="F382" s="1" t="s">
        <v>56</v>
      </c>
      <c r="G382" s="1" t="s">
        <v>23</v>
      </c>
      <c r="H382">
        <v>1</v>
      </c>
      <c r="I382" s="1" t="s">
        <v>16</v>
      </c>
      <c r="J382">
        <v>744</v>
      </c>
      <c r="K382" s="1" t="s">
        <v>239</v>
      </c>
      <c r="L382" s="1" t="s">
        <v>59</v>
      </c>
      <c r="M382">
        <v>785001</v>
      </c>
      <c r="N382" s="1" t="s">
        <v>19</v>
      </c>
    </row>
    <row r="383" spans="1:14" x14ac:dyDescent="0.3">
      <c r="A383">
        <v>59570765</v>
      </c>
      <c r="B383" s="1" t="s">
        <v>23</v>
      </c>
      <c r="C383" s="1" t="s">
        <v>26</v>
      </c>
      <c r="D383" s="1" t="s">
        <v>27</v>
      </c>
      <c r="E383" s="1" t="s">
        <v>21</v>
      </c>
      <c r="F383" s="1" t="s">
        <v>14</v>
      </c>
      <c r="G383" s="1" t="s">
        <v>23</v>
      </c>
      <c r="H383">
        <v>1</v>
      </c>
      <c r="I383" s="1" t="s">
        <v>16</v>
      </c>
      <c r="J383">
        <v>399</v>
      </c>
      <c r="K383" s="1" t="s">
        <v>34</v>
      </c>
      <c r="L383" s="1" t="s">
        <v>35</v>
      </c>
      <c r="M383">
        <v>600100</v>
      </c>
      <c r="N383" s="1" t="s">
        <v>19</v>
      </c>
    </row>
    <row r="384" spans="1:14" x14ac:dyDescent="0.3">
      <c r="A384">
        <v>91962729</v>
      </c>
      <c r="B384" s="1" t="s">
        <v>20</v>
      </c>
      <c r="C384" s="1" t="s">
        <v>11</v>
      </c>
      <c r="D384" s="1" t="s">
        <v>12</v>
      </c>
      <c r="E384" s="1" t="s">
        <v>21</v>
      </c>
      <c r="F384" s="1" t="s">
        <v>14</v>
      </c>
      <c r="G384" s="1" t="s">
        <v>23</v>
      </c>
      <c r="H384">
        <v>1</v>
      </c>
      <c r="I384" s="1" t="s">
        <v>16</v>
      </c>
      <c r="J384">
        <v>568</v>
      </c>
      <c r="K384" s="1" t="s">
        <v>240</v>
      </c>
      <c r="L384" s="1" t="s">
        <v>25</v>
      </c>
      <c r="M384">
        <v>562159</v>
      </c>
      <c r="N384" s="1" t="s">
        <v>19</v>
      </c>
    </row>
    <row r="385" spans="1:14" x14ac:dyDescent="0.3">
      <c r="A385">
        <v>46317933</v>
      </c>
      <c r="B385" s="1" t="s">
        <v>23</v>
      </c>
      <c r="C385" s="1" t="s">
        <v>26</v>
      </c>
      <c r="D385" s="1" t="s">
        <v>27</v>
      </c>
      <c r="E385" s="1" t="s">
        <v>13</v>
      </c>
      <c r="F385" s="1" t="s">
        <v>14</v>
      </c>
      <c r="G385" s="1" t="s">
        <v>23</v>
      </c>
      <c r="H385">
        <v>1</v>
      </c>
      <c r="I385" s="1" t="s">
        <v>16</v>
      </c>
      <c r="J385">
        <v>835</v>
      </c>
      <c r="K385" s="1" t="s">
        <v>241</v>
      </c>
      <c r="L385" s="1" t="s">
        <v>25</v>
      </c>
      <c r="M385">
        <v>586109</v>
      </c>
      <c r="N385" s="1" t="s">
        <v>19</v>
      </c>
    </row>
    <row r="386" spans="1:14" x14ac:dyDescent="0.3">
      <c r="A386">
        <v>71189964</v>
      </c>
      <c r="B386" s="1" t="s">
        <v>242</v>
      </c>
      <c r="C386" s="1" t="s">
        <v>11</v>
      </c>
      <c r="D386" s="1" t="s">
        <v>12</v>
      </c>
      <c r="E386" s="1" t="s">
        <v>21</v>
      </c>
      <c r="F386" s="1" t="s">
        <v>14</v>
      </c>
      <c r="G386" s="1" t="s">
        <v>23</v>
      </c>
      <c r="H386">
        <v>1</v>
      </c>
      <c r="I386" s="1" t="s">
        <v>16</v>
      </c>
      <c r="J386">
        <v>568</v>
      </c>
      <c r="K386" s="1" t="s">
        <v>240</v>
      </c>
      <c r="L386" s="1" t="s">
        <v>25</v>
      </c>
      <c r="M386">
        <v>562159</v>
      </c>
      <c r="N386" s="1" t="s">
        <v>19</v>
      </c>
    </row>
    <row r="387" spans="1:14" x14ac:dyDescent="0.3">
      <c r="A387">
        <v>82654744</v>
      </c>
      <c r="B387" s="1" t="s">
        <v>23</v>
      </c>
      <c r="C387" s="1" t="s">
        <v>26</v>
      </c>
      <c r="D387" s="1" t="s">
        <v>27</v>
      </c>
      <c r="E387" s="1" t="s">
        <v>30</v>
      </c>
      <c r="F387" s="1" t="s">
        <v>31</v>
      </c>
      <c r="G387" s="1" t="s">
        <v>23</v>
      </c>
      <c r="H387">
        <v>1</v>
      </c>
      <c r="I387" s="1" t="s">
        <v>16</v>
      </c>
      <c r="J387">
        <v>899</v>
      </c>
      <c r="K387" s="1" t="s">
        <v>243</v>
      </c>
      <c r="L387" s="1" t="s">
        <v>61</v>
      </c>
      <c r="M387">
        <v>827001</v>
      </c>
      <c r="N387" s="1" t="s">
        <v>19</v>
      </c>
    </row>
    <row r="388" spans="1:14" x14ac:dyDescent="0.3">
      <c r="A388">
        <v>4132337</v>
      </c>
      <c r="B388" s="1" t="s">
        <v>23</v>
      </c>
      <c r="C388" s="1" t="s">
        <v>26</v>
      </c>
      <c r="D388" s="1" t="s">
        <v>27</v>
      </c>
      <c r="E388" s="1" t="s">
        <v>21</v>
      </c>
      <c r="F388" s="1" t="s">
        <v>41</v>
      </c>
      <c r="G388" s="1" t="s">
        <v>23</v>
      </c>
      <c r="H388">
        <v>1</v>
      </c>
      <c r="I388" s="1" t="s">
        <v>16</v>
      </c>
      <c r="J388">
        <v>406</v>
      </c>
      <c r="K388" s="1" t="s">
        <v>24</v>
      </c>
      <c r="L388" s="1" t="s">
        <v>25</v>
      </c>
      <c r="M388">
        <v>560008</v>
      </c>
      <c r="N388" s="1" t="s">
        <v>19</v>
      </c>
    </row>
    <row r="389" spans="1:14" x14ac:dyDescent="0.3">
      <c r="A389">
        <v>16949931</v>
      </c>
      <c r="B389" s="1" t="s">
        <v>23</v>
      </c>
      <c r="C389" s="1" t="s">
        <v>26</v>
      </c>
      <c r="D389" s="1" t="s">
        <v>12</v>
      </c>
      <c r="E389" s="1" t="s">
        <v>13</v>
      </c>
      <c r="F389" s="1" t="s">
        <v>41</v>
      </c>
      <c r="G389" s="1" t="s">
        <v>23</v>
      </c>
      <c r="H389">
        <v>1</v>
      </c>
      <c r="I389" s="1" t="s">
        <v>16</v>
      </c>
      <c r="J389">
        <v>0</v>
      </c>
      <c r="K389" s="1" t="s">
        <v>68</v>
      </c>
      <c r="L389" s="1" t="s">
        <v>37</v>
      </c>
      <c r="M389">
        <v>226002</v>
      </c>
      <c r="N389" s="1" t="s">
        <v>19</v>
      </c>
    </row>
    <row r="390" spans="1:14" x14ac:dyDescent="0.3">
      <c r="A390">
        <v>2345965</v>
      </c>
      <c r="B390" s="1" t="s">
        <v>10</v>
      </c>
      <c r="C390" s="1" t="s">
        <v>11</v>
      </c>
      <c r="D390" s="1" t="s">
        <v>12</v>
      </c>
      <c r="E390" s="1" t="s">
        <v>13</v>
      </c>
      <c r="F390" s="1" t="s">
        <v>41</v>
      </c>
      <c r="G390" s="1" t="s">
        <v>15</v>
      </c>
      <c r="H390">
        <v>2</v>
      </c>
      <c r="I390" s="1" t="s">
        <v>16</v>
      </c>
      <c r="J390">
        <v>570</v>
      </c>
      <c r="K390" s="1" t="s">
        <v>17</v>
      </c>
      <c r="L390" s="1" t="s">
        <v>18</v>
      </c>
      <c r="M390">
        <v>400101</v>
      </c>
      <c r="N390" s="1" t="s">
        <v>19</v>
      </c>
    </row>
    <row r="391" spans="1:14" x14ac:dyDescent="0.3">
      <c r="A391">
        <v>95381167</v>
      </c>
      <c r="B391" s="1" t="s">
        <v>20</v>
      </c>
      <c r="C391" s="1" t="s">
        <v>11</v>
      </c>
      <c r="D391" s="1" t="s">
        <v>12</v>
      </c>
      <c r="E391" s="1" t="s">
        <v>21</v>
      </c>
      <c r="F391" s="1" t="s">
        <v>56</v>
      </c>
      <c r="G391" s="1" t="s">
        <v>23</v>
      </c>
      <c r="H391">
        <v>1</v>
      </c>
      <c r="I391" s="1" t="s">
        <v>16</v>
      </c>
      <c r="J391">
        <v>399</v>
      </c>
      <c r="K391" s="1" t="s">
        <v>244</v>
      </c>
      <c r="L391" s="1" t="s">
        <v>40</v>
      </c>
      <c r="M391">
        <v>507003</v>
      </c>
      <c r="N391" s="1" t="s">
        <v>19</v>
      </c>
    </row>
    <row r="392" spans="1:14" x14ac:dyDescent="0.3">
      <c r="A392">
        <v>8793109</v>
      </c>
      <c r="B392" s="1" t="s">
        <v>23</v>
      </c>
      <c r="C392" s="1" t="s">
        <v>26</v>
      </c>
      <c r="D392" s="1" t="s">
        <v>27</v>
      </c>
      <c r="E392" s="1" t="s">
        <v>13</v>
      </c>
      <c r="F392" s="1" t="s">
        <v>43</v>
      </c>
      <c r="G392" s="1" t="s">
        <v>23</v>
      </c>
      <c r="H392">
        <v>1</v>
      </c>
      <c r="I392" s="1" t="s">
        <v>16</v>
      </c>
      <c r="J392">
        <v>789</v>
      </c>
      <c r="K392" s="1" t="s">
        <v>34</v>
      </c>
      <c r="L392" s="1" t="s">
        <v>35</v>
      </c>
      <c r="M392">
        <v>600041</v>
      </c>
      <c r="N392" s="1" t="s">
        <v>19</v>
      </c>
    </row>
    <row r="393" spans="1:14" x14ac:dyDescent="0.3">
      <c r="A393">
        <v>82025908</v>
      </c>
      <c r="B393" s="1" t="s">
        <v>23</v>
      </c>
      <c r="C393" s="1" t="s">
        <v>26</v>
      </c>
      <c r="D393" s="1" t="s">
        <v>27</v>
      </c>
      <c r="E393" s="1" t="s">
        <v>245</v>
      </c>
      <c r="F393" s="1" t="s">
        <v>75</v>
      </c>
      <c r="G393" s="1" t="s">
        <v>23</v>
      </c>
      <c r="H393">
        <v>1</v>
      </c>
      <c r="I393" s="1" t="s">
        <v>16</v>
      </c>
      <c r="J393">
        <v>620</v>
      </c>
      <c r="K393" s="1" t="s">
        <v>51</v>
      </c>
      <c r="L393" s="1" t="s">
        <v>52</v>
      </c>
      <c r="M393">
        <v>110084</v>
      </c>
      <c r="N393" s="1" t="s">
        <v>19</v>
      </c>
    </row>
    <row r="394" spans="1:14" x14ac:dyDescent="0.3">
      <c r="A394">
        <v>24525113</v>
      </c>
      <c r="B394" s="1" t="s">
        <v>20</v>
      </c>
      <c r="C394" s="1" t="s">
        <v>11</v>
      </c>
      <c r="D394" s="1" t="s">
        <v>12</v>
      </c>
      <c r="E394" s="1" t="s">
        <v>13</v>
      </c>
      <c r="F394" s="1" t="s">
        <v>43</v>
      </c>
      <c r="G394" s="1" t="s">
        <v>23</v>
      </c>
      <c r="H394">
        <v>1</v>
      </c>
      <c r="I394" s="1" t="s">
        <v>16</v>
      </c>
      <c r="J394">
        <v>0</v>
      </c>
      <c r="K394" s="1" t="s">
        <v>246</v>
      </c>
      <c r="L394" s="1" t="s">
        <v>18</v>
      </c>
      <c r="M394">
        <v>431002</v>
      </c>
      <c r="N394" s="1" t="s">
        <v>19</v>
      </c>
    </row>
    <row r="395" spans="1:14" x14ac:dyDescent="0.3">
      <c r="A395">
        <v>52777168</v>
      </c>
      <c r="B395" s="1" t="s">
        <v>20</v>
      </c>
      <c r="C395" s="1" t="s">
        <v>11</v>
      </c>
      <c r="D395" s="1" t="s">
        <v>12</v>
      </c>
      <c r="E395" s="1" t="s">
        <v>13</v>
      </c>
      <c r="F395" s="1" t="s">
        <v>56</v>
      </c>
      <c r="G395" s="1" t="s">
        <v>23</v>
      </c>
      <c r="H395">
        <v>1</v>
      </c>
      <c r="I395" s="1" t="s">
        <v>16</v>
      </c>
      <c r="J395">
        <v>631</v>
      </c>
      <c r="K395" s="1" t="s">
        <v>221</v>
      </c>
      <c r="L395" s="1" t="s">
        <v>18</v>
      </c>
      <c r="M395">
        <v>411014</v>
      </c>
      <c r="N395" s="1" t="s">
        <v>19</v>
      </c>
    </row>
    <row r="396" spans="1:14" x14ac:dyDescent="0.3">
      <c r="A396">
        <v>1209919</v>
      </c>
      <c r="B396" s="1" t="s">
        <v>23</v>
      </c>
      <c r="C396" s="1" t="s">
        <v>26</v>
      </c>
      <c r="D396" s="1" t="s">
        <v>27</v>
      </c>
      <c r="E396" s="1" t="s">
        <v>21</v>
      </c>
      <c r="F396" s="1" t="s">
        <v>31</v>
      </c>
      <c r="G396" s="1" t="s">
        <v>23</v>
      </c>
      <c r="H396">
        <v>1</v>
      </c>
      <c r="I396" s="1" t="s">
        <v>16</v>
      </c>
      <c r="J396">
        <v>499</v>
      </c>
      <c r="K396" s="1" t="s">
        <v>247</v>
      </c>
      <c r="L396" s="1" t="s">
        <v>78</v>
      </c>
      <c r="M396">
        <v>487551</v>
      </c>
      <c r="N396" s="1" t="s">
        <v>19</v>
      </c>
    </row>
    <row r="397" spans="1:14" x14ac:dyDescent="0.3">
      <c r="A397">
        <v>65535531</v>
      </c>
      <c r="B397" s="1" t="s">
        <v>23</v>
      </c>
      <c r="C397" s="1" t="s">
        <v>26</v>
      </c>
      <c r="D397" s="1" t="s">
        <v>27</v>
      </c>
      <c r="E397" s="1" t="s">
        <v>30</v>
      </c>
      <c r="F397" s="1" t="s">
        <v>31</v>
      </c>
      <c r="G397" s="1" t="s">
        <v>23</v>
      </c>
      <c r="H397">
        <v>1</v>
      </c>
      <c r="I397" s="1" t="s">
        <v>16</v>
      </c>
      <c r="J397">
        <v>807</v>
      </c>
      <c r="K397" s="1" t="s">
        <v>39</v>
      </c>
      <c r="L397" s="1" t="s">
        <v>40</v>
      </c>
      <c r="M397">
        <v>500050</v>
      </c>
      <c r="N397" s="1" t="s">
        <v>19</v>
      </c>
    </row>
    <row r="398" spans="1:14" x14ac:dyDescent="0.3">
      <c r="A398">
        <v>3080315</v>
      </c>
      <c r="B398" s="1" t="s">
        <v>23</v>
      </c>
      <c r="C398" s="1" t="s">
        <v>26</v>
      </c>
      <c r="D398" s="1" t="s">
        <v>27</v>
      </c>
      <c r="E398" s="1" t="s">
        <v>13</v>
      </c>
      <c r="F398" s="1" t="s">
        <v>41</v>
      </c>
      <c r="G398" s="1" t="s">
        <v>23</v>
      </c>
      <c r="H398">
        <v>1</v>
      </c>
      <c r="I398" s="1" t="s">
        <v>16</v>
      </c>
      <c r="J398">
        <v>666</v>
      </c>
      <c r="K398" s="1" t="s">
        <v>32</v>
      </c>
      <c r="L398" s="1" t="s">
        <v>32</v>
      </c>
      <c r="M398">
        <v>605001</v>
      </c>
      <c r="N398" s="1" t="s">
        <v>19</v>
      </c>
    </row>
    <row r="399" spans="1:14" x14ac:dyDescent="0.3">
      <c r="A399">
        <v>18974712</v>
      </c>
      <c r="B399" s="1" t="s">
        <v>23</v>
      </c>
      <c r="C399" s="1" t="s">
        <v>26</v>
      </c>
      <c r="D399" s="1" t="s">
        <v>12</v>
      </c>
      <c r="E399" s="1" t="s">
        <v>13</v>
      </c>
      <c r="F399" s="1" t="s">
        <v>31</v>
      </c>
      <c r="G399" s="1" t="s">
        <v>23</v>
      </c>
      <c r="H399">
        <v>1</v>
      </c>
      <c r="I399" s="1" t="s">
        <v>16</v>
      </c>
      <c r="J399">
        <v>0</v>
      </c>
      <c r="K399" s="1" t="s">
        <v>248</v>
      </c>
      <c r="L399" s="1" t="s">
        <v>18</v>
      </c>
      <c r="M399">
        <v>423109</v>
      </c>
      <c r="N399" s="1" t="s">
        <v>19</v>
      </c>
    </row>
    <row r="400" spans="1:14" x14ac:dyDescent="0.3">
      <c r="A400">
        <v>96933941</v>
      </c>
      <c r="B400" s="1" t="s">
        <v>23</v>
      </c>
      <c r="C400" s="1" t="s">
        <v>26</v>
      </c>
      <c r="D400" s="1" t="s">
        <v>27</v>
      </c>
      <c r="E400" s="1" t="s">
        <v>21</v>
      </c>
      <c r="F400" s="1" t="s">
        <v>43</v>
      </c>
      <c r="G400" s="1" t="s">
        <v>23</v>
      </c>
      <c r="H400">
        <v>1</v>
      </c>
      <c r="I400" s="1" t="s">
        <v>16</v>
      </c>
      <c r="J400">
        <v>329</v>
      </c>
      <c r="K400" s="1" t="s">
        <v>249</v>
      </c>
      <c r="L400" s="1" t="s">
        <v>35</v>
      </c>
      <c r="M400">
        <v>632004</v>
      </c>
      <c r="N400" s="1" t="s">
        <v>19</v>
      </c>
    </row>
    <row r="401" spans="1:14" x14ac:dyDescent="0.3">
      <c r="A401">
        <v>92089932</v>
      </c>
      <c r="B401" s="1" t="s">
        <v>23</v>
      </c>
      <c r="C401" s="1" t="s">
        <v>26</v>
      </c>
      <c r="D401" s="1" t="s">
        <v>12</v>
      </c>
      <c r="E401" s="1" t="s">
        <v>13</v>
      </c>
      <c r="F401" s="1" t="s">
        <v>28</v>
      </c>
      <c r="G401" s="1" t="s">
        <v>23</v>
      </c>
      <c r="H401">
        <v>1</v>
      </c>
      <c r="I401" s="1" t="s">
        <v>16</v>
      </c>
      <c r="J401">
        <v>0</v>
      </c>
      <c r="K401" s="1" t="s">
        <v>60</v>
      </c>
      <c r="L401" s="1" t="s">
        <v>61</v>
      </c>
      <c r="M401">
        <v>834002</v>
      </c>
      <c r="N401" s="1" t="s">
        <v>19</v>
      </c>
    </row>
    <row r="402" spans="1:14" x14ac:dyDescent="0.3">
      <c r="A402">
        <v>18505932</v>
      </c>
      <c r="B402" s="1" t="s">
        <v>20</v>
      </c>
      <c r="C402" s="1" t="s">
        <v>11</v>
      </c>
      <c r="D402" s="1" t="s">
        <v>12</v>
      </c>
      <c r="E402" s="1" t="s">
        <v>21</v>
      </c>
      <c r="F402" s="1" t="s">
        <v>28</v>
      </c>
      <c r="G402" s="1" t="s">
        <v>23</v>
      </c>
      <c r="H402">
        <v>1</v>
      </c>
      <c r="I402" s="1" t="s">
        <v>16</v>
      </c>
      <c r="J402">
        <v>399</v>
      </c>
      <c r="K402" s="1" t="s">
        <v>250</v>
      </c>
      <c r="L402" s="1" t="s">
        <v>37</v>
      </c>
      <c r="M402">
        <v>201301</v>
      </c>
      <c r="N402" s="1" t="s">
        <v>19</v>
      </c>
    </row>
    <row r="403" spans="1:14" x14ac:dyDescent="0.3">
      <c r="A403">
        <v>23693910</v>
      </c>
      <c r="B403" s="1" t="s">
        <v>23</v>
      </c>
      <c r="C403" s="1" t="s">
        <v>26</v>
      </c>
      <c r="D403" s="1" t="s">
        <v>27</v>
      </c>
      <c r="E403" s="1" t="s">
        <v>21</v>
      </c>
      <c r="F403" s="1" t="s">
        <v>56</v>
      </c>
      <c r="G403" s="1" t="s">
        <v>23</v>
      </c>
      <c r="H403">
        <v>1</v>
      </c>
      <c r="I403" s="1" t="s">
        <v>16</v>
      </c>
      <c r="J403">
        <v>399</v>
      </c>
      <c r="K403" s="1" t="s">
        <v>251</v>
      </c>
      <c r="L403" s="1" t="s">
        <v>25</v>
      </c>
      <c r="M403">
        <v>575007</v>
      </c>
      <c r="N403" s="1" t="s">
        <v>19</v>
      </c>
    </row>
    <row r="404" spans="1:14" x14ac:dyDescent="0.3">
      <c r="A404">
        <v>27258752</v>
      </c>
      <c r="B404" s="1" t="s">
        <v>23</v>
      </c>
      <c r="C404" s="1" t="s">
        <v>26</v>
      </c>
      <c r="D404" s="1" t="s">
        <v>27</v>
      </c>
      <c r="E404" s="1" t="s">
        <v>21</v>
      </c>
      <c r="F404" s="1" t="s">
        <v>41</v>
      </c>
      <c r="G404" s="1" t="s">
        <v>23</v>
      </c>
      <c r="H404">
        <v>1</v>
      </c>
      <c r="I404" s="1" t="s">
        <v>16</v>
      </c>
      <c r="J404">
        <v>487</v>
      </c>
      <c r="K404" s="1" t="s">
        <v>252</v>
      </c>
      <c r="L404" s="1" t="s">
        <v>78</v>
      </c>
      <c r="M404">
        <v>486889</v>
      </c>
      <c r="N404" s="1" t="s">
        <v>19</v>
      </c>
    </row>
    <row r="405" spans="1:14" x14ac:dyDescent="0.3">
      <c r="A405">
        <v>47467540</v>
      </c>
      <c r="B405" s="1" t="s">
        <v>23</v>
      </c>
      <c r="C405" s="1" t="s">
        <v>26</v>
      </c>
      <c r="D405" s="1" t="s">
        <v>27</v>
      </c>
      <c r="E405" s="1" t="s">
        <v>13</v>
      </c>
      <c r="F405" s="1" t="s">
        <v>41</v>
      </c>
      <c r="G405" s="1" t="s">
        <v>23</v>
      </c>
      <c r="H405">
        <v>1</v>
      </c>
      <c r="I405" s="1" t="s">
        <v>16</v>
      </c>
      <c r="J405">
        <v>1033</v>
      </c>
      <c r="K405" s="1" t="s">
        <v>51</v>
      </c>
      <c r="L405" s="1" t="s">
        <v>52</v>
      </c>
      <c r="M405">
        <v>110063</v>
      </c>
      <c r="N405" s="1" t="s">
        <v>19</v>
      </c>
    </row>
    <row r="406" spans="1:14" x14ac:dyDescent="0.3">
      <c r="A406">
        <v>957913</v>
      </c>
      <c r="B406" s="1" t="s">
        <v>23</v>
      </c>
      <c r="C406" s="1" t="s">
        <v>26</v>
      </c>
      <c r="D406" s="1" t="s">
        <v>27</v>
      </c>
      <c r="E406" s="1" t="s">
        <v>33</v>
      </c>
      <c r="F406" s="1" t="s">
        <v>31</v>
      </c>
      <c r="G406" s="1" t="s">
        <v>23</v>
      </c>
      <c r="H406">
        <v>1</v>
      </c>
      <c r="I406" s="1" t="s">
        <v>16</v>
      </c>
      <c r="J406">
        <v>625</v>
      </c>
      <c r="K406" s="1" t="s">
        <v>24</v>
      </c>
      <c r="L406" s="1" t="s">
        <v>25</v>
      </c>
      <c r="M406">
        <v>560077</v>
      </c>
      <c r="N406" s="1" t="s">
        <v>19</v>
      </c>
    </row>
    <row r="407" spans="1:14" x14ac:dyDescent="0.3">
      <c r="A407">
        <v>43153129</v>
      </c>
      <c r="B407" s="1" t="s">
        <v>23</v>
      </c>
      <c r="C407" s="1" t="s">
        <v>26</v>
      </c>
      <c r="D407" s="1" t="s">
        <v>27</v>
      </c>
      <c r="E407" s="1" t="s">
        <v>33</v>
      </c>
      <c r="F407" s="1" t="s">
        <v>31</v>
      </c>
      <c r="G407" s="1" t="s">
        <v>23</v>
      </c>
      <c r="H407">
        <v>1</v>
      </c>
      <c r="I407" s="1" t="s">
        <v>16</v>
      </c>
      <c r="J407">
        <v>432</v>
      </c>
      <c r="K407" s="1" t="s">
        <v>17</v>
      </c>
      <c r="L407" s="1" t="s">
        <v>18</v>
      </c>
      <c r="M407">
        <v>400097</v>
      </c>
      <c r="N407" s="1" t="s">
        <v>19</v>
      </c>
    </row>
    <row r="408" spans="1:14" x14ac:dyDescent="0.3">
      <c r="A408">
        <v>86086759</v>
      </c>
      <c r="B408" s="1" t="s">
        <v>23</v>
      </c>
      <c r="C408" s="1" t="s">
        <v>26</v>
      </c>
      <c r="D408" s="1" t="s">
        <v>27</v>
      </c>
      <c r="E408" s="1" t="s">
        <v>13</v>
      </c>
      <c r="F408" s="1" t="s">
        <v>56</v>
      </c>
      <c r="G408" s="1" t="s">
        <v>23</v>
      </c>
      <c r="H408">
        <v>1</v>
      </c>
      <c r="I408" s="1" t="s">
        <v>16</v>
      </c>
      <c r="J408">
        <v>1115</v>
      </c>
      <c r="K408" s="1" t="s">
        <v>51</v>
      </c>
      <c r="L408" s="1" t="s">
        <v>52</v>
      </c>
      <c r="M408">
        <v>110017</v>
      </c>
      <c r="N408" s="1" t="s">
        <v>19</v>
      </c>
    </row>
    <row r="409" spans="1:14" x14ac:dyDescent="0.3">
      <c r="A409">
        <v>77793119</v>
      </c>
      <c r="B409" s="1" t="s">
        <v>23</v>
      </c>
      <c r="C409" s="1" t="s">
        <v>26</v>
      </c>
      <c r="D409" s="1" t="s">
        <v>27</v>
      </c>
      <c r="E409" s="1" t="s">
        <v>21</v>
      </c>
      <c r="F409" s="1" t="s">
        <v>28</v>
      </c>
      <c r="G409" s="1" t="s">
        <v>23</v>
      </c>
      <c r="H409">
        <v>1</v>
      </c>
      <c r="I409" s="1" t="s">
        <v>16</v>
      </c>
      <c r="J409">
        <v>511</v>
      </c>
      <c r="K409" s="1" t="s">
        <v>36</v>
      </c>
      <c r="L409" s="1" t="s">
        <v>37</v>
      </c>
      <c r="M409">
        <v>201014</v>
      </c>
      <c r="N409" s="1" t="s">
        <v>19</v>
      </c>
    </row>
    <row r="410" spans="1:14" x14ac:dyDescent="0.3">
      <c r="A410">
        <v>58439543</v>
      </c>
      <c r="B410" s="1" t="s">
        <v>23</v>
      </c>
      <c r="C410" s="1" t="s">
        <v>26</v>
      </c>
      <c r="D410" s="1" t="s">
        <v>27</v>
      </c>
      <c r="E410" s="1" t="s">
        <v>13</v>
      </c>
      <c r="F410" s="1" t="s">
        <v>28</v>
      </c>
      <c r="G410" s="1" t="s">
        <v>23</v>
      </c>
      <c r="H410">
        <v>1</v>
      </c>
      <c r="I410" s="1" t="s">
        <v>16</v>
      </c>
      <c r="J410">
        <v>599</v>
      </c>
      <c r="K410" s="1" t="s">
        <v>253</v>
      </c>
      <c r="L410" s="1" t="s">
        <v>71</v>
      </c>
      <c r="M410">
        <v>758001</v>
      </c>
      <c r="N410" s="1" t="s">
        <v>19</v>
      </c>
    </row>
    <row r="411" spans="1:14" x14ac:dyDescent="0.3">
      <c r="A411">
        <v>74557125</v>
      </c>
      <c r="B411" s="1" t="s">
        <v>23</v>
      </c>
      <c r="C411" s="1" t="s">
        <v>26</v>
      </c>
      <c r="D411" s="1" t="s">
        <v>27</v>
      </c>
      <c r="E411" s="1" t="s">
        <v>33</v>
      </c>
      <c r="F411" s="1" t="s">
        <v>31</v>
      </c>
      <c r="G411" s="1" t="s">
        <v>23</v>
      </c>
      <c r="H411">
        <v>1</v>
      </c>
      <c r="I411" s="1" t="s">
        <v>16</v>
      </c>
      <c r="J411">
        <v>545</v>
      </c>
      <c r="K411" s="1" t="s">
        <v>17</v>
      </c>
      <c r="L411" s="1" t="s">
        <v>18</v>
      </c>
      <c r="M411">
        <v>400066</v>
      </c>
      <c r="N411" s="1" t="s">
        <v>19</v>
      </c>
    </row>
    <row r="412" spans="1:14" x14ac:dyDescent="0.3">
      <c r="A412">
        <v>89765950</v>
      </c>
      <c r="B412" s="1" t="s">
        <v>23</v>
      </c>
      <c r="C412" s="1" t="s">
        <v>26</v>
      </c>
      <c r="D412" s="1" t="s">
        <v>27</v>
      </c>
      <c r="E412" s="1" t="s">
        <v>21</v>
      </c>
      <c r="F412" s="1" t="s">
        <v>41</v>
      </c>
      <c r="G412" s="1" t="s">
        <v>23</v>
      </c>
      <c r="H412">
        <v>1</v>
      </c>
      <c r="I412" s="1" t="s">
        <v>16</v>
      </c>
      <c r="J412">
        <v>353</v>
      </c>
      <c r="K412" s="1" t="s">
        <v>92</v>
      </c>
      <c r="L412" s="1" t="s">
        <v>18</v>
      </c>
      <c r="M412">
        <v>401107</v>
      </c>
      <c r="N412" s="1" t="s">
        <v>19</v>
      </c>
    </row>
    <row r="413" spans="1:14" x14ac:dyDescent="0.3">
      <c r="A413">
        <v>30253911</v>
      </c>
      <c r="B413" s="1" t="s">
        <v>23</v>
      </c>
      <c r="C413" s="1" t="s">
        <v>26</v>
      </c>
      <c r="D413" s="1" t="s">
        <v>27</v>
      </c>
      <c r="E413" s="1" t="s">
        <v>13</v>
      </c>
      <c r="F413" s="1" t="s">
        <v>41</v>
      </c>
      <c r="G413" s="1" t="s">
        <v>23</v>
      </c>
      <c r="H413">
        <v>1</v>
      </c>
      <c r="I413" s="1" t="s">
        <v>16</v>
      </c>
      <c r="J413">
        <v>563</v>
      </c>
      <c r="K413" s="1" t="s">
        <v>92</v>
      </c>
      <c r="L413" s="1" t="s">
        <v>18</v>
      </c>
      <c r="M413">
        <v>401107</v>
      </c>
      <c r="N413" s="1" t="s">
        <v>19</v>
      </c>
    </row>
    <row r="414" spans="1:14" x14ac:dyDescent="0.3">
      <c r="A414">
        <v>92857161</v>
      </c>
      <c r="B414" s="1" t="s">
        <v>23</v>
      </c>
      <c r="C414" s="1" t="s">
        <v>26</v>
      </c>
      <c r="D414" s="1" t="s">
        <v>27</v>
      </c>
      <c r="E414" s="1" t="s">
        <v>33</v>
      </c>
      <c r="F414" s="1" t="s">
        <v>41</v>
      </c>
      <c r="G414" s="1" t="s">
        <v>23</v>
      </c>
      <c r="H414">
        <v>1</v>
      </c>
      <c r="I414" s="1" t="s">
        <v>16</v>
      </c>
      <c r="J414">
        <v>487</v>
      </c>
      <c r="K414" s="1" t="s">
        <v>129</v>
      </c>
      <c r="L414" s="1" t="s">
        <v>18</v>
      </c>
      <c r="M414">
        <v>421201</v>
      </c>
      <c r="N414" s="1" t="s">
        <v>19</v>
      </c>
    </row>
    <row r="415" spans="1:14" x14ac:dyDescent="0.3">
      <c r="A415">
        <v>26781106</v>
      </c>
      <c r="B415" s="1" t="s">
        <v>23</v>
      </c>
      <c r="C415" s="1" t="s">
        <v>26</v>
      </c>
      <c r="D415" s="1" t="s">
        <v>27</v>
      </c>
      <c r="E415" s="1" t="s">
        <v>21</v>
      </c>
      <c r="F415" s="1" t="s">
        <v>31</v>
      </c>
      <c r="G415" s="1" t="s">
        <v>23</v>
      </c>
      <c r="H415">
        <v>1</v>
      </c>
      <c r="I415" s="1" t="s">
        <v>16</v>
      </c>
      <c r="J415">
        <v>352</v>
      </c>
      <c r="K415" s="1" t="s">
        <v>34</v>
      </c>
      <c r="L415" s="1" t="s">
        <v>35</v>
      </c>
      <c r="M415">
        <v>600015</v>
      </c>
      <c r="N415" s="1" t="s">
        <v>19</v>
      </c>
    </row>
    <row r="416" spans="1:14" x14ac:dyDescent="0.3">
      <c r="A416">
        <v>32408359</v>
      </c>
      <c r="B416" s="1" t="s">
        <v>23</v>
      </c>
      <c r="C416" s="1" t="s">
        <v>26</v>
      </c>
      <c r="D416" s="1" t="s">
        <v>27</v>
      </c>
      <c r="E416" s="1" t="s">
        <v>21</v>
      </c>
      <c r="F416" s="1" t="s">
        <v>31</v>
      </c>
      <c r="G416" s="1" t="s">
        <v>23</v>
      </c>
      <c r="H416">
        <v>1</v>
      </c>
      <c r="I416" s="1" t="s">
        <v>16</v>
      </c>
      <c r="J416">
        <v>376</v>
      </c>
      <c r="K416" s="1" t="s">
        <v>34</v>
      </c>
      <c r="L416" s="1" t="s">
        <v>35</v>
      </c>
      <c r="M416">
        <v>600115</v>
      </c>
      <c r="N416" s="1" t="s">
        <v>19</v>
      </c>
    </row>
    <row r="417" spans="1:14" x14ac:dyDescent="0.3">
      <c r="A417">
        <v>9401113</v>
      </c>
      <c r="B417" s="1" t="s">
        <v>173</v>
      </c>
      <c r="C417" s="1" t="s">
        <v>11</v>
      </c>
      <c r="D417" s="1" t="s">
        <v>12</v>
      </c>
      <c r="E417" s="1" t="s">
        <v>33</v>
      </c>
      <c r="F417" s="1" t="s">
        <v>31</v>
      </c>
      <c r="G417" s="1" t="s">
        <v>23</v>
      </c>
      <c r="H417">
        <v>1</v>
      </c>
      <c r="I417" s="1" t="s">
        <v>16</v>
      </c>
      <c r="J417">
        <v>599</v>
      </c>
      <c r="K417" s="1" t="s">
        <v>145</v>
      </c>
      <c r="L417" s="1" t="s">
        <v>54</v>
      </c>
      <c r="M417">
        <v>122022</v>
      </c>
      <c r="N417" s="1" t="s">
        <v>19</v>
      </c>
    </row>
    <row r="418" spans="1:14" x14ac:dyDescent="0.3">
      <c r="A418">
        <v>23389133</v>
      </c>
      <c r="B418" s="1" t="s">
        <v>20</v>
      </c>
      <c r="C418" s="1" t="s">
        <v>11</v>
      </c>
      <c r="D418" s="1" t="s">
        <v>12</v>
      </c>
      <c r="E418" s="1" t="s">
        <v>254</v>
      </c>
      <c r="F418" s="1" t="s">
        <v>75</v>
      </c>
      <c r="G418" s="1" t="s">
        <v>23</v>
      </c>
      <c r="H418">
        <v>1</v>
      </c>
      <c r="I418" s="1" t="s">
        <v>16</v>
      </c>
      <c r="J418">
        <v>329</v>
      </c>
      <c r="K418" s="1" t="s">
        <v>227</v>
      </c>
      <c r="L418" s="1" t="s">
        <v>120</v>
      </c>
      <c r="M418">
        <v>141012</v>
      </c>
      <c r="N418" s="1" t="s">
        <v>19</v>
      </c>
    </row>
    <row r="419" spans="1:14" x14ac:dyDescent="0.3">
      <c r="A419">
        <v>3923530</v>
      </c>
      <c r="B419" s="1" t="s">
        <v>23</v>
      </c>
      <c r="C419" s="1" t="s">
        <v>26</v>
      </c>
      <c r="D419" s="1" t="s">
        <v>27</v>
      </c>
      <c r="E419" s="1" t="s">
        <v>13</v>
      </c>
      <c r="F419" s="1" t="s">
        <v>28</v>
      </c>
      <c r="G419" s="1" t="s">
        <v>23</v>
      </c>
      <c r="H419">
        <v>1</v>
      </c>
      <c r="I419" s="1" t="s">
        <v>16</v>
      </c>
      <c r="J419">
        <v>1133</v>
      </c>
      <c r="K419" s="1" t="s">
        <v>255</v>
      </c>
      <c r="L419" s="1" t="s">
        <v>214</v>
      </c>
      <c r="M419">
        <v>403114</v>
      </c>
      <c r="N419" s="1" t="s">
        <v>19</v>
      </c>
    </row>
    <row r="420" spans="1:14" x14ac:dyDescent="0.3">
      <c r="A420">
        <v>85262750</v>
      </c>
      <c r="B420" s="1" t="s">
        <v>23</v>
      </c>
      <c r="C420" s="1" t="s">
        <v>26</v>
      </c>
      <c r="D420" s="1" t="s">
        <v>27</v>
      </c>
      <c r="E420" s="1" t="s">
        <v>13</v>
      </c>
      <c r="F420" s="1" t="s">
        <v>41</v>
      </c>
      <c r="G420" s="1" t="s">
        <v>23</v>
      </c>
      <c r="H420">
        <v>1</v>
      </c>
      <c r="I420" s="1" t="s">
        <v>16</v>
      </c>
      <c r="J420">
        <v>684</v>
      </c>
      <c r="K420" s="1" t="s">
        <v>256</v>
      </c>
      <c r="L420" s="1" t="s">
        <v>257</v>
      </c>
      <c r="M420">
        <v>795004</v>
      </c>
      <c r="N420" s="1" t="s">
        <v>19</v>
      </c>
    </row>
    <row r="421" spans="1:14" x14ac:dyDescent="0.3">
      <c r="A421">
        <v>34557960</v>
      </c>
      <c r="B421" s="1" t="s">
        <v>10</v>
      </c>
      <c r="C421" s="1" t="s">
        <v>26</v>
      </c>
      <c r="D421" s="1" t="s">
        <v>27</v>
      </c>
      <c r="E421" s="1" t="s">
        <v>21</v>
      </c>
      <c r="F421" s="1" t="s">
        <v>31</v>
      </c>
      <c r="G421" s="1" t="s">
        <v>116</v>
      </c>
      <c r="H421">
        <v>1</v>
      </c>
      <c r="I421" s="1" t="s">
        <v>16</v>
      </c>
      <c r="J421">
        <v>435</v>
      </c>
      <c r="K421" s="1" t="s">
        <v>39</v>
      </c>
      <c r="L421" s="1" t="s">
        <v>40</v>
      </c>
      <c r="M421">
        <v>500090</v>
      </c>
      <c r="N421" s="1" t="s">
        <v>19</v>
      </c>
    </row>
    <row r="422" spans="1:14" x14ac:dyDescent="0.3">
      <c r="A422">
        <v>74386763</v>
      </c>
      <c r="B422" s="1" t="s">
        <v>23</v>
      </c>
      <c r="C422" s="1" t="s">
        <v>26</v>
      </c>
      <c r="D422" s="1" t="s">
        <v>27</v>
      </c>
      <c r="E422" s="1" t="s">
        <v>21</v>
      </c>
      <c r="F422" s="1" t="s">
        <v>28</v>
      </c>
      <c r="G422" s="1" t="s">
        <v>23</v>
      </c>
      <c r="H422">
        <v>1</v>
      </c>
      <c r="I422" s="1" t="s">
        <v>16</v>
      </c>
      <c r="J422">
        <v>399</v>
      </c>
      <c r="K422" s="1" t="s">
        <v>65</v>
      </c>
      <c r="L422" s="1" t="s">
        <v>18</v>
      </c>
      <c r="M422">
        <v>411057</v>
      </c>
      <c r="N422" s="1" t="s">
        <v>19</v>
      </c>
    </row>
    <row r="423" spans="1:14" x14ac:dyDescent="0.3">
      <c r="A423">
        <v>57490722</v>
      </c>
      <c r="B423" s="1" t="s">
        <v>10</v>
      </c>
      <c r="C423" s="1" t="s">
        <v>26</v>
      </c>
      <c r="D423" s="1" t="s">
        <v>27</v>
      </c>
      <c r="E423" s="1" t="s">
        <v>21</v>
      </c>
      <c r="F423" s="1" t="s">
        <v>28</v>
      </c>
      <c r="G423" s="1" t="s">
        <v>116</v>
      </c>
      <c r="H423">
        <v>1</v>
      </c>
      <c r="I423" s="1" t="s">
        <v>16</v>
      </c>
      <c r="J423">
        <v>399</v>
      </c>
      <c r="K423" s="1" t="s">
        <v>258</v>
      </c>
      <c r="L423" s="1" t="s">
        <v>25</v>
      </c>
      <c r="M423">
        <v>562101</v>
      </c>
      <c r="N423" s="1" t="s">
        <v>19</v>
      </c>
    </row>
    <row r="424" spans="1:14" x14ac:dyDescent="0.3">
      <c r="A424">
        <v>46438765</v>
      </c>
      <c r="B424" s="1" t="s">
        <v>23</v>
      </c>
      <c r="C424" s="1" t="s">
        <v>26</v>
      </c>
      <c r="D424" s="1" t="s">
        <v>27</v>
      </c>
      <c r="E424" s="1" t="s">
        <v>13</v>
      </c>
      <c r="F424" s="1" t="s">
        <v>31</v>
      </c>
      <c r="G424" s="1" t="s">
        <v>23</v>
      </c>
      <c r="H424">
        <v>1</v>
      </c>
      <c r="I424" s="1" t="s">
        <v>16</v>
      </c>
      <c r="J424">
        <v>788</v>
      </c>
      <c r="K424" s="1" t="s">
        <v>259</v>
      </c>
      <c r="L424" s="1" t="s">
        <v>80</v>
      </c>
      <c r="M424">
        <v>711302</v>
      </c>
      <c r="N424" s="1" t="s">
        <v>19</v>
      </c>
    </row>
    <row r="425" spans="1:14" x14ac:dyDescent="0.3">
      <c r="A425">
        <v>12217151</v>
      </c>
      <c r="B425" s="1" t="s">
        <v>20</v>
      </c>
      <c r="C425" s="1" t="s">
        <v>11</v>
      </c>
      <c r="D425" s="1" t="s">
        <v>12</v>
      </c>
      <c r="E425" s="1" t="s">
        <v>21</v>
      </c>
      <c r="F425" s="1" t="s">
        <v>22</v>
      </c>
      <c r="G425" s="1" t="s">
        <v>23</v>
      </c>
      <c r="H425">
        <v>1</v>
      </c>
      <c r="I425" s="1" t="s">
        <v>16</v>
      </c>
      <c r="J425">
        <v>549</v>
      </c>
      <c r="K425" s="1" t="s">
        <v>24</v>
      </c>
      <c r="L425" s="1" t="s">
        <v>25</v>
      </c>
      <c r="M425">
        <v>560078</v>
      </c>
      <c r="N425" s="1" t="s">
        <v>19</v>
      </c>
    </row>
    <row r="426" spans="1:14" x14ac:dyDescent="0.3">
      <c r="A426">
        <v>89663515</v>
      </c>
      <c r="B426" s="1" t="s">
        <v>23</v>
      </c>
      <c r="C426" s="1" t="s">
        <v>26</v>
      </c>
      <c r="D426" s="1" t="s">
        <v>27</v>
      </c>
      <c r="E426" s="1" t="s">
        <v>13</v>
      </c>
      <c r="F426" s="1" t="s">
        <v>43</v>
      </c>
      <c r="G426" s="1" t="s">
        <v>23</v>
      </c>
      <c r="H426">
        <v>1</v>
      </c>
      <c r="I426" s="1" t="s">
        <v>16</v>
      </c>
      <c r="J426">
        <v>654</v>
      </c>
      <c r="K426" s="1" t="s">
        <v>17</v>
      </c>
      <c r="L426" s="1" t="s">
        <v>18</v>
      </c>
      <c r="M426">
        <v>400067</v>
      </c>
      <c r="N426" s="1" t="s">
        <v>19</v>
      </c>
    </row>
    <row r="427" spans="1:14" x14ac:dyDescent="0.3">
      <c r="A427">
        <v>25400318</v>
      </c>
      <c r="B427" s="1" t="s">
        <v>23</v>
      </c>
      <c r="C427" s="1" t="s">
        <v>26</v>
      </c>
      <c r="D427" s="1" t="s">
        <v>27</v>
      </c>
      <c r="E427" s="1" t="s">
        <v>21</v>
      </c>
      <c r="F427" s="1" t="s">
        <v>56</v>
      </c>
      <c r="G427" s="1" t="s">
        <v>23</v>
      </c>
      <c r="H427">
        <v>1</v>
      </c>
      <c r="I427" s="1" t="s">
        <v>16</v>
      </c>
      <c r="J427">
        <v>399</v>
      </c>
      <c r="K427" s="1" t="s">
        <v>260</v>
      </c>
      <c r="L427" s="1" t="s">
        <v>18</v>
      </c>
      <c r="M427">
        <v>400078</v>
      </c>
      <c r="N427" s="1" t="s">
        <v>19</v>
      </c>
    </row>
    <row r="428" spans="1:14" x14ac:dyDescent="0.3">
      <c r="A428">
        <v>52636366</v>
      </c>
      <c r="B428" s="1" t="s">
        <v>20</v>
      </c>
      <c r="C428" s="1" t="s">
        <v>11</v>
      </c>
      <c r="D428" s="1" t="s">
        <v>12</v>
      </c>
      <c r="E428" s="1" t="s">
        <v>13</v>
      </c>
      <c r="F428" s="1" t="s">
        <v>31</v>
      </c>
      <c r="G428" s="1" t="s">
        <v>23</v>
      </c>
      <c r="H428">
        <v>1</v>
      </c>
      <c r="I428" s="1" t="s">
        <v>16</v>
      </c>
      <c r="J428">
        <v>599</v>
      </c>
      <c r="K428" s="1" t="s">
        <v>39</v>
      </c>
      <c r="L428" s="1" t="s">
        <v>40</v>
      </c>
      <c r="M428">
        <v>500067</v>
      </c>
      <c r="N428" s="1" t="s">
        <v>19</v>
      </c>
    </row>
    <row r="429" spans="1:14" x14ac:dyDescent="0.3">
      <c r="A429">
        <v>84563550</v>
      </c>
      <c r="B429" s="1" t="s">
        <v>23</v>
      </c>
      <c r="C429" s="1" t="s">
        <v>26</v>
      </c>
      <c r="D429" s="1" t="s">
        <v>27</v>
      </c>
      <c r="E429" s="1" t="s">
        <v>13</v>
      </c>
      <c r="F429" s="1" t="s">
        <v>31</v>
      </c>
      <c r="G429" s="1" t="s">
        <v>23</v>
      </c>
      <c r="H429">
        <v>1</v>
      </c>
      <c r="I429" s="1" t="s">
        <v>16</v>
      </c>
      <c r="J429">
        <v>874</v>
      </c>
      <c r="K429" s="1" t="s">
        <v>39</v>
      </c>
      <c r="L429" s="1" t="s">
        <v>40</v>
      </c>
      <c r="M429">
        <v>500067</v>
      </c>
      <c r="N429" s="1" t="s">
        <v>19</v>
      </c>
    </row>
    <row r="430" spans="1:14" x14ac:dyDescent="0.3">
      <c r="A430">
        <v>1900363</v>
      </c>
      <c r="B430" s="1" t="s">
        <v>20</v>
      </c>
      <c r="C430" s="1" t="s">
        <v>11</v>
      </c>
      <c r="D430" s="1" t="s">
        <v>12</v>
      </c>
      <c r="E430" s="1" t="s">
        <v>21</v>
      </c>
      <c r="F430" s="1" t="s">
        <v>41</v>
      </c>
      <c r="G430" s="1" t="s">
        <v>23</v>
      </c>
      <c r="H430">
        <v>1</v>
      </c>
      <c r="I430" s="1" t="s">
        <v>16</v>
      </c>
      <c r="J430">
        <v>533</v>
      </c>
      <c r="K430" s="1" t="s">
        <v>39</v>
      </c>
      <c r="L430" s="1" t="s">
        <v>40</v>
      </c>
      <c r="M430">
        <v>500075</v>
      </c>
      <c r="N430" s="1" t="s">
        <v>19</v>
      </c>
    </row>
    <row r="431" spans="1:14" x14ac:dyDescent="0.3">
      <c r="A431">
        <v>92801163</v>
      </c>
      <c r="B431" s="1" t="s">
        <v>23</v>
      </c>
      <c r="C431" s="1" t="s">
        <v>26</v>
      </c>
      <c r="D431" s="1" t="s">
        <v>27</v>
      </c>
      <c r="E431" s="1" t="s">
        <v>21</v>
      </c>
      <c r="F431" s="1" t="s">
        <v>41</v>
      </c>
      <c r="G431" s="1" t="s">
        <v>23</v>
      </c>
      <c r="H431">
        <v>1</v>
      </c>
      <c r="I431" s="1" t="s">
        <v>16</v>
      </c>
      <c r="J431">
        <v>399</v>
      </c>
      <c r="K431" s="1" t="s">
        <v>24</v>
      </c>
      <c r="L431" s="1" t="s">
        <v>25</v>
      </c>
      <c r="M431">
        <v>560011</v>
      </c>
      <c r="N431" s="1" t="s">
        <v>19</v>
      </c>
    </row>
    <row r="432" spans="1:14" x14ac:dyDescent="0.3">
      <c r="A432">
        <v>18904322</v>
      </c>
      <c r="B432" s="1" t="s">
        <v>23</v>
      </c>
      <c r="C432" s="1" t="s">
        <v>26</v>
      </c>
      <c r="D432" s="1" t="s">
        <v>27</v>
      </c>
      <c r="E432" s="1" t="s">
        <v>30</v>
      </c>
      <c r="F432" s="1" t="s">
        <v>31</v>
      </c>
      <c r="G432" s="1" t="s">
        <v>23</v>
      </c>
      <c r="H432">
        <v>1</v>
      </c>
      <c r="I432" s="1" t="s">
        <v>16</v>
      </c>
      <c r="J432">
        <v>744</v>
      </c>
      <c r="K432" s="1" t="s">
        <v>24</v>
      </c>
      <c r="L432" s="1" t="s">
        <v>25</v>
      </c>
      <c r="M432">
        <v>560035</v>
      </c>
      <c r="N432" s="1" t="s">
        <v>19</v>
      </c>
    </row>
    <row r="433" spans="1:14" x14ac:dyDescent="0.3">
      <c r="A433">
        <v>8157926</v>
      </c>
      <c r="B433" s="1" t="s">
        <v>23</v>
      </c>
      <c r="C433" s="1" t="s">
        <v>26</v>
      </c>
      <c r="D433" s="1" t="s">
        <v>27</v>
      </c>
      <c r="E433" s="1" t="s">
        <v>21</v>
      </c>
      <c r="F433" s="1" t="s">
        <v>56</v>
      </c>
      <c r="G433" s="1" t="s">
        <v>23</v>
      </c>
      <c r="H433">
        <v>1</v>
      </c>
      <c r="I433" s="1" t="s">
        <v>16</v>
      </c>
      <c r="J433">
        <v>499</v>
      </c>
      <c r="K433" s="1" t="s">
        <v>261</v>
      </c>
      <c r="L433" s="1" t="s">
        <v>93</v>
      </c>
      <c r="M433">
        <v>395007</v>
      </c>
      <c r="N433" s="1" t="s">
        <v>19</v>
      </c>
    </row>
    <row r="434" spans="1:14" x14ac:dyDescent="0.3">
      <c r="A434">
        <v>64411563</v>
      </c>
      <c r="B434" s="1" t="s">
        <v>10</v>
      </c>
      <c r="C434" s="1" t="s">
        <v>26</v>
      </c>
      <c r="D434" s="1" t="s">
        <v>27</v>
      </c>
      <c r="E434" s="1" t="s">
        <v>21</v>
      </c>
      <c r="F434" s="1" t="s">
        <v>56</v>
      </c>
      <c r="G434" s="1" t="s">
        <v>116</v>
      </c>
      <c r="H434">
        <v>1</v>
      </c>
      <c r="I434" s="1" t="s">
        <v>16</v>
      </c>
      <c r="J434">
        <v>399</v>
      </c>
      <c r="K434" s="1" t="s">
        <v>260</v>
      </c>
      <c r="L434" s="1" t="s">
        <v>18</v>
      </c>
      <c r="M434">
        <v>400078</v>
      </c>
      <c r="N434" s="1" t="s">
        <v>19</v>
      </c>
    </row>
    <row r="435" spans="1:14" x14ac:dyDescent="0.3">
      <c r="A435">
        <v>22179563</v>
      </c>
      <c r="B435" s="1" t="s">
        <v>23</v>
      </c>
      <c r="C435" s="1" t="s">
        <v>26</v>
      </c>
      <c r="D435" s="1" t="s">
        <v>27</v>
      </c>
      <c r="E435" s="1" t="s">
        <v>21</v>
      </c>
      <c r="F435" s="1" t="s">
        <v>31</v>
      </c>
      <c r="G435" s="1" t="s">
        <v>23</v>
      </c>
      <c r="H435">
        <v>1</v>
      </c>
      <c r="I435" s="1" t="s">
        <v>16</v>
      </c>
      <c r="J435">
        <v>376</v>
      </c>
      <c r="K435" s="1" t="s">
        <v>262</v>
      </c>
      <c r="L435" s="1" t="s">
        <v>48</v>
      </c>
      <c r="M435">
        <v>517001</v>
      </c>
      <c r="N435" s="1" t="s">
        <v>19</v>
      </c>
    </row>
    <row r="436" spans="1:14" x14ac:dyDescent="0.3">
      <c r="A436">
        <v>77125147</v>
      </c>
      <c r="B436" s="1" t="s">
        <v>23</v>
      </c>
      <c r="C436" s="1" t="s">
        <v>26</v>
      </c>
      <c r="D436" s="1" t="s">
        <v>27</v>
      </c>
      <c r="E436" s="1" t="s">
        <v>21</v>
      </c>
      <c r="F436" s="1" t="s">
        <v>41</v>
      </c>
      <c r="G436" s="1" t="s">
        <v>23</v>
      </c>
      <c r="H436">
        <v>1</v>
      </c>
      <c r="I436" s="1" t="s">
        <v>16</v>
      </c>
      <c r="J436">
        <v>486</v>
      </c>
      <c r="K436" s="1" t="s">
        <v>263</v>
      </c>
      <c r="L436" s="1" t="s">
        <v>25</v>
      </c>
      <c r="M436">
        <v>577548</v>
      </c>
      <c r="N436" s="1" t="s">
        <v>19</v>
      </c>
    </row>
    <row r="437" spans="1:14" x14ac:dyDescent="0.3">
      <c r="A437">
        <v>52766717</v>
      </c>
      <c r="B437" s="1" t="s">
        <v>23</v>
      </c>
      <c r="C437" s="1" t="s">
        <v>26</v>
      </c>
      <c r="D437" s="1" t="s">
        <v>27</v>
      </c>
      <c r="E437" s="1" t="s">
        <v>21</v>
      </c>
      <c r="F437" s="1" t="s">
        <v>41</v>
      </c>
      <c r="G437" s="1" t="s">
        <v>23</v>
      </c>
      <c r="H437">
        <v>1</v>
      </c>
      <c r="I437" s="1" t="s">
        <v>16</v>
      </c>
      <c r="J437">
        <v>399</v>
      </c>
      <c r="K437" s="1" t="s">
        <v>264</v>
      </c>
      <c r="L437" s="1" t="s">
        <v>50</v>
      </c>
      <c r="M437">
        <v>335804</v>
      </c>
      <c r="N437" s="1" t="s">
        <v>19</v>
      </c>
    </row>
    <row r="438" spans="1:14" x14ac:dyDescent="0.3">
      <c r="A438">
        <v>93946709</v>
      </c>
      <c r="B438" s="1" t="s">
        <v>23</v>
      </c>
      <c r="C438" s="1" t="s">
        <v>26</v>
      </c>
      <c r="D438" s="1" t="s">
        <v>27</v>
      </c>
      <c r="E438" s="1" t="s">
        <v>21</v>
      </c>
      <c r="F438" s="1" t="s">
        <v>28</v>
      </c>
      <c r="G438" s="1" t="s">
        <v>23</v>
      </c>
      <c r="H438">
        <v>1</v>
      </c>
      <c r="I438" s="1" t="s">
        <v>16</v>
      </c>
      <c r="J438">
        <v>424</v>
      </c>
      <c r="K438" s="1" t="s">
        <v>17</v>
      </c>
      <c r="L438" s="1" t="s">
        <v>18</v>
      </c>
      <c r="M438">
        <v>400095</v>
      </c>
      <c r="N438" s="1" t="s">
        <v>19</v>
      </c>
    </row>
    <row r="439" spans="1:14" x14ac:dyDescent="0.3">
      <c r="A439">
        <v>17797129</v>
      </c>
      <c r="B439" s="1" t="s">
        <v>20</v>
      </c>
      <c r="C439" s="1" t="s">
        <v>11</v>
      </c>
      <c r="D439" s="1" t="s">
        <v>12</v>
      </c>
      <c r="E439" s="1" t="s">
        <v>21</v>
      </c>
      <c r="F439" s="1" t="s">
        <v>41</v>
      </c>
      <c r="G439" s="1" t="s">
        <v>23</v>
      </c>
      <c r="H439">
        <v>1</v>
      </c>
      <c r="I439" s="1" t="s">
        <v>16</v>
      </c>
      <c r="J439">
        <v>362</v>
      </c>
      <c r="K439" s="1" t="s">
        <v>17</v>
      </c>
      <c r="L439" s="1" t="s">
        <v>18</v>
      </c>
      <c r="M439">
        <v>400095</v>
      </c>
      <c r="N439" s="1" t="s">
        <v>19</v>
      </c>
    </row>
    <row r="440" spans="1:14" x14ac:dyDescent="0.3">
      <c r="A440">
        <v>15712365</v>
      </c>
      <c r="B440" s="1" t="s">
        <v>23</v>
      </c>
      <c r="C440" s="1" t="s">
        <v>26</v>
      </c>
      <c r="D440" s="1" t="s">
        <v>27</v>
      </c>
      <c r="E440" s="1" t="s">
        <v>33</v>
      </c>
      <c r="F440" s="1" t="s">
        <v>22</v>
      </c>
      <c r="G440" s="1" t="s">
        <v>23</v>
      </c>
      <c r="H440">
        <v>1</v>
      </c>
      <c r="I440" s="1" t="s">
        <v>16</v>
      </c>
      <c r="J440">
        <v>599</v>
      </c>
      <c r="K440" s="1" t="s">
        <v>265</v>
      </c>
      <c r="L440" s="1" t="s">
        <v>120</v>
      </c>
      <c r="M440">
        <v>143531</v>
      </c>
      <c r="N440" s="1" t="s">
        <v>19</v>
      </c>
    </row>
    <row r="441" spans="1:14" x14ac:dyDescent="0.3">
      <c r="A441">
        <v>2667552</v>
      </c>
      <c r="B441" s="1" t="s">
        <v>23</v>
      </c>
      <c r="C441" s="1" t="s">
        <v>26</v>
      </c>
      <c r="D441" s="1" t="s">
        <v>27</v>
      </c>
      <c r="E441" s="1" t="s">
        <v>13</v>
      </c>
      <c r="F441" s="1" t="s">
        <v>31</v>
      </c>
      <c r="G441" s="1" t="s">
        <v>23</v>
      </c>
      <c r="H441">
        <v>1</v>
      </c>
      <c r="I441" s="1" t="s">
        <v>16</v>
      </c>
      <c r="J441">
        <v>597</v>
      </c>
      <c r="K441" s="1" t="s">
        <v>79</v>
      </c>
      <c r="L441" s="1" t="s">
        <v>80</v>
      </c>
      <c r="M441">
        <v>700028</v>
      </c>
      <c r="N441" s="1" t="s">
        <v>19</v>
      </c>
    </row>
    <row r="442" spans="1:14" x14ac:dyDescent="0.3">
      <c r="A442">
        <v>95726757</v>
      </c>
      <c r="B442" s="1" t="s">
        <v>23</v>
      </c>
      <c r="C442" s="1" t="s">
        <v>26</v>
      </c>
      <c r="D442" s="1" t="s">
        <v>27</v>
      </c>
      <c r="E442" s="1" t="s">
        <v>33</v>
      </c>
      <c r="F442" s="1" t="s">
        <v>41</v>
      </c>
      <c r="G442" s="1" t="s">
        <v>23</v>
      </c>
      <c r="H442">
        <v>1</v>
      </c>
      <c r="I442" s="1" t="s">
        <v>16</v>
      </c>
      <c r="J442">
        <v>487</v>
      </c>
      <c r="K442" s="1" t="s">
        <v>82</v>
      </c>
      <c r="L442" s="1" t="s">
        <v>40</v>
      </c>
      <c r="M442">
        <v>500011</v>
      </c>
      <c r="N442" s="1" t="s">
        <v>19</v>
      </c>
    </row>
    <row r="443" spans="1:14" x14ac:dyDescent="0.3">
      <c r="A443">
        <v>9531500</v>
      </c>
      <c r="B443" s="1" t="s">
        <v>20</v>
      </c>
      <c r="C443" s="1" t="s">
        <v>11</v>
      </c>
      <c r="D443" s="1" t="s">
        <v>12</v>
      </c>
      <c r="E443" s="1" t="s">
        <v>13</v>
      </c>
      <c r="F443" s="1" t="s">
        <v>22</v>
      </c>
      <c r="G443" s="1" t="s">
        <v>23</v>
      </c>
      <c r="H443">
        <v>1</v>
      </c>
      <c r="I443" s="1" t="s">
        <v>16</v>
      </c>
      <c r="J443">
        <v>563</v>
      </c>
      <c r="K443" s="1" t="s">
        <v>129</v>
      </c>
      <c r="L443" s="1" t="s">
        <v>18</v>
      </c>
      <c r="M443">
        <v>421004</v>
      </c>
      <c r="N443" s="1" t="s">
        <v>19</v>
      </c>
    </row>
    <row r="444" spans="1:14" x14ac:dyDescent="0.3">
      <c r="A444">
        <v>91632369</v>
      </c>
      <c r="B444" s="1" t="s">
        <v>23</v>
      </c>
      <c r="C444" s="1" t="s">
        <v>26</v>
      </c>
      <c r="D444" s="1" t="s">
        <v>27</v>
      </c>
      <c r="E444" s="1" t="s">
        <v>21</v>
      </c>
      <c r="F444" s="1" t="s">
        <v>31</v>
      </c>
      <c r="G444" s="1" t="s">
        <v>23</v>
      </c>
      <c r="H444">
        <v>1</v>
      </c>
      <c r="I444" s="1" t="s">
        <v>16</v>
      </c>
      <c r="J444">
        <v>487</v>
      </c>
      <c r="K444" s="1" t="s">
        <v>266</v>
      </c>
      <c r="L444" s="1" t="s">
        <v>35</v>
      </c>
      <c r="M444">
        <v>605752</v>
      </c>
      <c r="N444" s="1" t="s">
        <v>19</v>
      </c>
    </row>
    <row r="445" spans="1:14" x14ac:dyDescent="0.3">
      <c r="A445">
        <v>25613164</v>
      </c>
      <c r="B445" s="1" t="s">
        <v>23</v>
      </c>
      <c r="C445" s="1" t="s">
        <v>26</v>
      </c>
      <c r="D445" s="1" t="s">
        <v>27</v>
      </c>
      <c r="E445" s="1" t="s">
        <v>13</v>
      </c>
      <c r="F445" s="1" t="s">
        <v>41</v>
      </c>
      <c r="G445" s="1" t="s">
        <v>23</v>
      </c>
      <c r="H445">
        <v>1</v>
      </c>
      <c r="I445" s="1" t="s">
        <v>16</v>
      </c>
      <c r="J445">
        <v>1099</v>
      </c>
      <c r="K445" s="1" t="s">
        <v>267</v>
      </c>
      <c r="L445" s="1" t="s">
        <v>78</v>
      </c>
      <c r="M445">
        <v>462038</v>
      </c>
      <c r="N445" s="1" t="s">
        <v>19</v>
      </c>
    </row>
    <row r="446" spans="1:14" x14ac:dyDescent="0.3">
      <c r="A446">
        <v>77383569</v>
      </c>
      <c r="B446" s="1" t="s">
        <v>23</v>
      </c>
      <c r="C446" s="1" t="s">
        <v>26</v>
      </c>
      <c r="D446" s="1" t="s">
        <v>27</v>
      </c>
      <c r="E446" s="1" t="s">
        <v>13</v>
      </c>
      <c r="F446" s="1" t="s">
        <v>56</v>
      </c>
      <c r="G446" s="1" t="s">
        <v>23</v>
      </c>
      <c r="H446">
        <v>1</v>
      </c>
      <c r="I446" s="1" t="s">
        <v>16</v>
      </c>
      <c r="J446">
        <v>654</v>
      </c>
      <c r="K446" s="1" t="s">
        <v>268</v>
      </c>
      <c r="L446" s="1" t="s">
        <v>54</v>
      </c>
      <c r="M446">
        <v>122001</v>
      </c>
      <c r="N446" s="1" t="s">
        <v>19</v>
      </c>
    </row>
    <row r="447" spans="1:14" x14ac:dyDescent="0.3">
      <c r="A447">
        <v>15014713</v>
      </c>
      <c r="B447" s="1" t="s">
        <v>23</v>
      </c>
      <c r="C447" s="1" t="s">
        <v>26</v>
      </c>
      <c r="D447" s="1" t="s">
        <v>27</v>
      </c>
      <c r="E447" s="1" t="s">
        <v>21</v>
      </c>
      <c r="F447" s="1" t="s">
        <v>28</v>
      </c>
      <c r="G447" s="1" t="s">
        <v>23</v>
      </c>
      <c r="H447">
        <v>1</v>
      </c>
      <c r="I447" s="1" t="s">
        <v>16</v>
      </c>
      <c r="J447">
        <v>329</v>
      </c>
      <c r="K447" s="1" t="s">
        <v>39</v>
      </c>
      <c r="L447" s="1" t="s">
        <v>40</v>
      </c>
      <c r="M447">
        <v>500036</v>
      </c>
      <c r="N447" s="1" t="s">
        <v>19</v>
      </c>
    </row>
    <row r="448" spans="1:14" x14ac:dyDescent="0.3">
      <c r="A448">
        <v>89107502</v>
      </c>
      <c r="B448" s="1" t="s">
        <v>23</v>
      </c>
      <c r="C448" s="1" t="s">
        <v>26</v>
      </c>
      <c r="D448" s="1" t="s">
        <v>27</v>
      </c>
      <c r="E448" s="1" t="s">
        <v>13</v>
      </c>
      <c r="F448" s="1" t="s">
        <v>41</v>
      </c>
      <c r="G448" s="1" t="s">
        <v>23</v>
      </c>
      <c r="H448">
        <v>1</v>
      </c>
      <c r="I448" s="1" t="s">
        <v>16</v>
      </c>
      <c r="J448">
        <v>1186</v>
      </c>
      <c r="K448" s="1" t="s">
        <v>269</v>
      </c>
      <c r="L448" s="1" t="s">
        <v>71</v>
      </c>
      <c r="M448">
        <v>761126</v>
      </c>
      <c r="N448" s="1" t="s">
        <v>19</v>
      </c>
    </row>
    <row r="449" spans="1:14" x14ac:dyDescent="0.3">
      <c r="A449">
        <v>63952321</v>
      </c>
      <c r="B449" s="1" t="s">
        <v>23</v>
      </c>
      <c r="C449" s="1" t="s">
        <v>26</v>
      </c>
      <c r="D449" s="1" t="s">
        <v>27</v>
      </c>
      <c r="E449" s="1" t="s">
        <v>30</v>
      </c>
      <c r="F449" s="1" t="s">
        <v>14</v>
      </c>
      <c r="G449" s="1" t="s">
        <v>23</v>
      </c>
      <c r="H449">
        <v>1</v>
      </c>
      <c r="I449" s="1" t="s">
        <v>16</v>
      </c>
      <c r="J449">
        <v>588</v>
      </c>
      <c r="K449" s="1" t="s">
        <v>69</v>
      </c>
      <c r="L449" s="1" t="s">
        <v>48</v>
      </c>
      <c r="M449">
        <v>530016</v>
      </c>
      <c r="N449" s="1" t="s">
        <v>19</v>
      </c>
    </row>
    <row r="450" spans="1:14" x14ac:dyDescent="0.3">
      <c r="A450">
        <v>20942730</v>
      </c>
      <c r="B450" s="1" t="s">
        <v>23</v>
      </c>
      <c r="C450" s="1" t="s">
        <v>26</v>
      </c>
      <c r="D450" s="1" t="s">
        <v>27</v>
      </c>
      <c r="E450" s="1" t="s">
        <v>21</v>
      </c>
      <c r="F450" s="1" t="s">
        <v>14</v>
      </c>
      <c r="G450" s="1" t="s">
        <v>23</v>
      </c>
      <c r="H450">
        <v>1</v>
      </c>
      <c r="I450" s="1" t="s">
        <v>16</v>
      </c>
      <c r="J450">
        <v>329</v>
      </c>
      <c r="K450" s="1" t="s">
        <v>69</v>
      </c>
      <c r="L450" s="1" t="s">
        <v>48</v>
      </c>
      <c r="M450">
        <v>531173</v>
      </c>
      <c r="N450" s="1" t="s">
        <v>19</v>
      </c>
    </row>
    <row r="451" spans="1:14" x14ac:dyDescent="0.3">
      <c r="A451">
        <v>57726736</v>
      </c>
      <c r="B451" s="1" t="s">
        <v>23</v>
      </c>
      <c r="C451" s="1" t="s">
        <v>26</v>
      </c>
      <c r="D451" s="1" t="s">
        <v>27</v>
      </c>
      <c r="E451" s="1" t="s">
        <v>21</v>
      </c>
      <c r="F451" s="1" t="s">
        <v>41</v>
      </c>
      <c r="G451" s="1" t="s">
        <v>23</v>
      </c>
      <c r="H451">
        <v>1</v>
      </c>
      <c r="I451" s="1" t="s">
        <v>16</v>
      </c>
      <c r="J451">
        <v>487</v>
      </c>
      <c r="K451" s="1" t="s">
        <v>270</v>
      </c>
      <c r="L451" s="1" t="s">
        <v>48</v>
      </c>
      <c r="M451">
        <v>530048</v>
      </c>
      <c r="N451" s="1" t="s">
        <v>19</v>
      </c>
    </row>
    <row r="452" spans="1:14" x14ac:dyDescent="0.3">
      <c r="A452">
        <v>56651552</v>
      </c>
      <c r="B452" s="1" t="s">
        <v>20</v>
      </c>
      <c r="C452" s="1" t="s">
        <v>11</v>
      </c>
      <c r="D452" s="1" t="s">
        <v>12</v>
      </c>
      <c r="E452" s="1" t="s">
        <v>13</v>
      </c>
      <c r="F452" s="1" t="s">
        <v>31</v>
      </c>
      <c r="G452" s="1" t="s">
        <v>23</v>
      </c>
      <c r="H452">
        <v>1</v>
      </c>
      <c r="I452" s="1" t="s">
        <v>16</v>
      </c>
      <c r="J452">
        <v>549</v>
      </c>
      <c r="K452" s="1" t="s">
        <v>271</v>
      </c>
      <c r="L452" s="1" t="s">
        <v>100</v>
      </c>
      <c r="M452">
        <v>263601</v>
      </c>
      <c r="N452" s="1" t="s">
        <v>19</v>
      </c>
    </row>
    <row r="453" spans="1:14" x14ac:dyDescent="0.3">
      <c r="A453">
        <v>53049154</v>
      </c>
      <c r="B453" s="1" t="s">
        <v>23</v>
      </c>
      <c r="C453" s="1" t="s">
        <v>26</v>
      </c>
      <c r="D453" s="1" t="s">
        <v>27</v>
      </c>
      <c r="E453" s="1" t="s">
        <v>13</v>
      </c>
      <c r="F453" s="1" t="s">
        <v>28</v>
      </c>
      <c r="G453" s="1" t="s">
        <v>23</v>
      </c>
      <c r="H453">
        <v>1</v>
      </c>
      <c r="I453" s="1" t="s">
        <v>16</v>
      </c>
      <c r="J453">
        <v>626</v>
      </c>
      <c r="K453" s="1" t="s">
        <v>272</v>
      </c>
      <c r="L453" s="1" t="s">
        <v>48</v>
      </c>
      <c r="M453">
        <v>516360</v>
      </c>
      <c r="N453" s="1" t="s">
        <v>19</v>
      </c>
    </row>
    <row r="454" spans="1:14" x14ac:dyDescent="0.3">
      <c r="A454">
        <v>86618710</v>
      </c>
      <c r="B454" s="1" t="s">
        <v>10</v>
      </c>
      <c r="C454" s="1" t="s">
        <v>11</v>
      </c>
      <c r="D454" s="1" t="s">
        <v>12</v>
      </c>
      <c r="E454" s="1" t="s">
        <v>21</v>
      </c>
      <c r="F454" s="1" t="s">
        <v>56</v>
      </c>
      <c r="G454" s="1" t="s">
        <v>15</v>
      </c>
      <c r="H454">
        <v>2</v>
      </c>
      <c r="I454" s="1" t="s">
        <v>16</v>
      </c>
      <c r="J454">
        <v>570</v>
      </c>
      <c r="K454" s="1" t="s">
        <v>88</v>
      </c>
      <c r="L454" s="1" t="s">
        <v>40</v>
      </c>
      <c r="M454">
        <v>506330</v>
      </c>
      <c r="N454" s="1" t="s">
        <v>19</v>
      </c>
    </row>
    <row r="455" spans="1:14" x14ac:dyDescent="0.3">
      <c r="A455">
        <v>18731538</v>
      </c>
      <c r="B455" s="1" t="s">
        <v>20</v>
      </c>
      <c r="C455" s="1" t="s">
        <v>11</v>
      </c>
      <c r="D455" s="1" t="s">
        <v>12</v>
      </c>
      <c r="E455" s="1" t="s">
        <v>21</v>
      </c>
      <c r="F455" s="1" t="s">
        <v>22</v>
      </c>
      <c r="G455" s="1" t="s">
        <v>23</v>
      </c>
      <c r="H455">
        <v>1</v>
      </c>
      <c r="I455" s="1" t="s">
        <v>16</v>
      </c>
      <c r="J455">
        <v>319</v>
      </c>
      <c r="K455" s="1" t="s">
        <v>34</v>
      </c>
      <c r="L455" s="1" t="s">
        <v>35</v>
      </c>
      <c r="M455">
        <v>600089</v>
      </c>
      <c r="N455" s="1" t="s">
        <v>19</v>
      </c>
    </row>
    <row r="456" spans="1:14" x14ac:dyDescent="0.3">
      <c r="A456">
        <v>31705135</v>
      </c>
      <c r="B456" s="1" t="s">
        <v>23</v>
      </c>
      <c r="C456" s="1" t="s">
        <v>26</v>
      </c>
      <c r="D456" s="1" t="s">
        <v>27</v>
      </c>
      <c r="E456" s="1" t="s">
        <v>33</v>
      </c>
      <c r="F456" s="1" t="s">
        <v>22</v>
      </c>
      <c r="G456" s="1" t="s">
        <v>23</v>
      </c>
      <c r="H456">
        <v>1</v>
      </c>
      <c r="I456" s="1" t="s">
        <v>16</v>
      </c>
      <c r="J456">
        <v>518</v>
      </c>
      <c r="K456" s="1" t="s">
        <v>273</v>
      </c>
      <c r="L456" s="1" t="s">
        <v>37</v>
      </c>
      <c r="M456">
        <v>224001</v>
      </c>
      <c r="N456" s="1" t="s">
        <v>19</v>
      </c>
    </row>
    <row r="457" spans="1:14" x14ac:dyDescent="0.3">
      <c r="A457">
        <v>22209142</v>
      </c>
      <c r="B457" s="1" t="s">
        <v>23</v>
      </c>
      <c r="C457" s="1" t="s">
        <v>26</v>
      </c>
      <c r="D457" s="1" t="s">
        <v>27</v>
      </c>
      <c r="E457" s="1" t="s">
        <v>74</v>
      </c>
      <c r="F457" s="1" t="s">
        <v>75</v>
      </c>
      <c r="G457" s="1" t="s">
        <v>23</v>
      </c>
      <c r="H457">
        <v>1</v>
      </c>
      <c r="I457" s="1" t="s">
        <v>16</v>
      </c>
      <c r="J457">
        <v>899</v>
      </c>
      <c r="K457" s="1" t="s">
        <v>274</v>
      </c>
      <c r="L457" s="1" t="s">
        <v>50</v>
      </c>
      <c r="M457">
        <v>301019</v>
      </c>
      <c r="N457" s="1" t="s">
        <v>19</v>
      </c>
    </row>
    <row r="458" spans="1:14" x14ac:dyDescent="0.3">
      <c r="A458">
        <v>13468344</v>
      </c>
      <c r="B458" s="1" t="s">
        <v>23</v>
      </c>
      <c r="C458" s="1" t="s">
        <v>26</v>
      </c>
      <c r="D458" s="1" t="s">
        <v>27</v>
      </c>
      <c r="E458" s="1" t="s">
        <v>30</v>
      </c>
      <c r="F458" s="1" t="s">
        <v>28</v>
      </c>
      <c r="G458" s="1" t="s">
        <v>23</v>
      </c>
      <c r="H458">
        <v>1</v>
      </c>
      <c r="I458" s="1" t="s">
        <v>16</v>
      </c>
      <c r="J458">
        <v>807</v>
      </c>
      <c r="K458" s="1" t="s">
        <v>44</v>
      </c>
      <c r="L458" s="1" t="s">
        <v>37</v>
      </c>
      <c r="M458">
        <v>201301</v>
      </c>
      <c r="N458" s="1" t="s">
        <v>19</v>
      </c>
    </row>
    <row r="459" spans="1:14" x14ac:dyDescent="0.3">
      <c r="A459">
        <v>68023559</v>
      </c>
      <c r="B459" s="1" t="s">
        <v>20</v>
      </c>
      <c r="C459" s="1" t="s">
        <v>11</v>
      </c>
      <c r="D459" s="1" t="s">
        <v>12</v>
      </c>
      <c r="E459" s="1" t="s">
        <v>33</v>
      </c>
      <c r="F459" s="1" t="s">
        <v>56</v>
      </c>
      <c r="G459" s="1" t="s">
        <v>23</v>
      </c>
      <c r="H459">
        <v>1</v>
      </c>
      <c r="I459" s="1" t="s">
        <v>16</v>
      </c>
      <c r="J459">
        <v>463</v>
      </c>
      <c r="K459" s="1" t="s">
        <v>88</v>
      </c>
      <c r="L459" s="1" t="s">
        <v>40</v>
      </c>
      <c r="M459">
        <v>506001</v>
      </c>
      <c r="N459" s="1" t="s">
        <v>19</v>
      </c>
    </row>
    <row r="460" spans="1:14" x14ac:dyDescent="0.3">
      <c r="A460">
        <v>52846741</v>
      </c>
      <c r="B460" s="1" t="s">
        <v>23</v>
      </c>
      <c r="C460" s="1" t="s">
        <v>26</v>
      </c>
      <c r="D460" s="1" t="s">
        <v>27</v>
      </c>
      <c r="E460" s="1" t="s">
        <v>13</v>
      </c>
      <c r="F460" s="1" t="s">
        <v>22</v>
      </c>
      <c r="G460" s="1" t="s">
        <v>23</v>
      </c>
      <c r="H460">
        <v>1</v>
      </c>
      <c r="I460" s="1" t="s">
        <v>16</v>
      </c>
      <c r="J460">
        <v>653</v>
      </c>
      <c r="K460" s="1" t="s">
        <v>275</v>
      </c>
      <c r="L460" s="1" t="s">
        <v>25</v>
      </c>
      <c r="M460">
        <v>560078</v>
      </c>
      <c r="N460" s="1" t="s">
        <v>19</v>
      </c>
    </row>
    <row r="461" spans="1:14" x14ac:dyDescent="0.3">
      <c r="A461">
        <v>67007540</v>
      </c>
      <c r="B461" s="1" t="s">
        <v>23</v>
      </c>
      <c r="C461" s="1" t="s">
        <v>26</v>
      </c>
      <c r="D461" s="1" t="s">
        <v>27</v>
      </c>
      <c r="E461" s="1" t="s">
        <v>13</v>
      </c>
      <c r="F461" s="1" t="s">
        <v>56</v>
      </c>
      <c r="G461" s="1" t="s">
        <v>23</v>
      </c>
      <c r="H461">
        <v>1</v>
      </c>
      <c r="I461" s="1" t="s">
        <v>16</v>
      </c>
      <c r="J461">
        <v>1140</v>
      </c>
      <c r="K461" s="1" t="s">
        <v>51</v>
      </c>
      <c r="L461" s="1" t="s">
        <v>52</v>
      </c>
      <c r="M461">
        <v>110085</v>
      </c>
      <c r="N461" s="1" t="s">
        <v>19</v>
      </c>
    </row>
    <row r="462" spans="1:14" x14ac:dyDescent="0.3">
      <c r="A462">
        <v>18973957</v>
      </c>
      <c r="B462" s="1" t="s">
        <v>23</v>
      </c>
      <c r="C462" s="1" t="s">
        <v>26</v>
      </c>
      <c r="D462" s="1" t="s">
        <v>27</v>
      </c>
      <c r="E462" s="1" t="s">
        <v>13</v>
      </c>
      <c r="F462" s="1" t="s">
        <v>14</v>
      </c>
      <c r="G462" s="1" t="s">
        <v>23</v>
      </c>
      <c r="H462">
        <v>1</v>
      </c>
      <c r="I462" s="1" t="s">
        <v>16</v>
      </c>
      <c r="J462">
        <v>1260</v>
      </c>
      <c r="K462" s="1" t="s">
        <v>147</v>
      </c>
      <c r="L462" s="1" t="s">
        <v>37</v>
      </c>
      <c r="M462">
        <v>211002</v>
      </c>
      <c r="N462" s="1" t="s">
        <v>19</v>
      </c>
    </row>
    <row r="463" spans="1:14" x14ac:dyDescent="0.3">
      <c r="A463">
        <v>7633129</v>
      </c>
      <c r="B463" s="1" t="s">
        <v>23</v>
      </c>
      <c r="C463" s="1" t="s">
        <v>26</v>
      </c>
      <c r="D463" s="1" t="s">
        <v>27</v>
      </c>
      <c r="E463" s="1" t="s">
        <v>13</v>
      </c>
      <c r="F463" s="1" t="s">
        <v>28</v>
      </c>
      <c r="G463" s="1" t="s">
        <v>23</v>
      </c>
      <c r="H463">
        <v>1</v>
      </c>
      <c r="I463" s="1" t="s">
        <v>16</v>
      </c>
      <c r="J463">
        <v>909</v>
      </c>
      <c r="K463" s="1" t="s">
        <v>88</v>
      </c>
      <c r="L463" s="1" t="s">
        <v>40</v>
      </c>
      <c r="M463">
        <v>506009</v>
      </c>
      <c r="N463" s="1" t="s">
        <v>19</v>
      </c>
    </row>
    <row r="464" spans="1:14" x14ac:dyDescent="0.3">
      <c r="A464">
        <v>31706729</v>
      </c>
      <c r="B464" s="1" t="s">
        <v>23</v>
      </c>
      <c r="C464" s="1" t="s">
        <v>26</v>
      </c>
      <c r="D464" s="1" t="s">
        <v>27</v>
      </c>
      <c r="E464" s="1" t="s">
        <v>13</v>
      </c>
      <c r="F464" s="1" t="s">
        <v>56</v>
      </c>
      <c r="G464" s="1" t="s">
        <v>23</v>
      </c>
      <c r="H464">
        <v>1</v>
      </c>
      <c r="I464" s="1" t="s">
        <v>16</v>
      </c>
      <c r="J464">
        <v>968</v>
      </c>
      <c r="K464" s="1" t="s">
        <v>51</v>
      </c>
      <c r="L464" s="1" t="s">
        <v>52</v>
      </c>
      <c r="M464">
        <v>110030</v>
      </c>
      <c r="N464" s="1" t="s">
        <v>19</v>
      </c>
    </row>
    <row r="465" spans="1:14" x14ac:dyDescent="0.3">
      <c r="A465">
        <v>66502712</v>
      </c>
      <c r="B465" s="1" t="s">
        <v>23</v>
      </c>
      <c r="C465" s="1" t="s">
        <v>26</v>
      </c>
      <c r="D465" s="1" t="s">
        <v>27</v>
      </c>
      <c r="E465" s="1" t="s">
        <v>13</v>
      </c>
      <c r="F465" s="1" t="s">
        <v>28</v>
      </c>
      <c r="G465" s="1" t="s">
        <v>23</v>
      </c>
      <c r="H465">
        <v>1</v>
      </c>
      <c r="I465" s="1" t="s">
        <v>16</v>
      </c>
      <c r="J465">
        <v>788</v>
      </c>
      <c r="K465" s="1" t="s">
        <v>194</v>
      </c>
      <c r="L465" s="1" t="s">
        <v>18</v>
      </c>
      <c r="M465">
        <v>422101</v>
      </c>
      <c r="N465" s="1" t="s">
        <v>19</v>
      </c>
    </row>
    <row r="466" spans="1:14" x14ac:dyDescent="0.3">
      <c r="A466">
        <v>51451535</v>
      </c>
      <c r="B466" s="1" t="s">
        <v>23</v>
      </c>
      <c r="C466" s="1" t="s">
        <v>26</v>
      </c>
      <c r="D466" s="1" t="s">
        <v>27</v>
      </c>
      <c r="E466" s="1" t="s">
        <v>30</v>
      </c>
      <c r="F466" s="1" t="s">
        <v>56</v>
      </c>
      <c r="G466" s="1" t="s">
        <v>23</v>
      </c>
      <c r="H466">
        <v>1</v>
      </c>
      <c r="I466" s="1" t="s">
        <v>16</v>
      </c>
      <c r="J466">
        <v>771</v>
      </c>
      <c r="K466" s="1" t="s">
        <v>276</v>
      </c>
      <c r="L466" s="1" t="s">
        <v>80</v>
      </c>
      <c r="M466">
        <v>732103</v>
      </c>
      <c r="N466" s="1" t="s">
        <v>19</v>
      </c>
    </row>
    <row r="467" spans="1:14" x14ac:dyDescent="0.3">
      <c r="A467">
        <v>27084353</v>
      </c>
      <c r="B467" s="1" t="s">
        <v>23</v>
      </c>
      <c r="C467" s="1" t="s">
        <v>26</v>
      </c>
      <c r="D467" s="1" t="s">
        <v>27</v>
      </c>
      <c r="E467" s="1" t="s">
        <v>21</v>
      </c>
      <c r="F467" s="1" t="s">
        <v>22</v>
      </c>
      <c r="G467" s="1" t="s">
        <v>23</v>
      </c>
      <c r="H467">
        <v>1</v>
      </c>
      <c r="I467" s="1" t="s">
        <v>16</v>
      </c>
      <c r="J467">
        <v>399</v>
      </c>
      <c r="K467" s="1" t="s">
        <v>129</v>
      </c>
      <c r="L467" s="1" t="s">
        <v>18</v>
      </c>
      <c r="M467">
        <v>421301</v>
      </c>
      <c r="N467" s="1" t="s">
        <v>19</v>
      </c>
    </row>
    <row r="468" spans="1:14" x14ac:dyDescent="0.3">
      <c r="A468">
        <v>70247504</v>
      </c>
      <c r="B468" s="1" t="s">
        <v>23</v>
      </c>
      <c r="C468" s="1" t="s">
        <v>26</v>
      </c>
      <c r="D468" s="1" t="s">
        <v>27</v>
      </c>
      <c r="E468" s="1" t="s">
        <v>13</v>
      </c>
      <c r="F468" s="1" t="s">
        <v>28</v>
      </c>
      <c r="G468" s="1" t="s">
        <v>23</v>
      </c>
      <c r="H468">
        <v>1</v>
      </c>
      <c r="I468" s="1" t="s">
        <v>16</v>
      </c>
      <c r="J468">
        <v>888</v>
      </c>
      <c r="K468" s="1" t="s">
        <v>69</v>
      </c>
      <c r="L468" s="1" t="s">
        <v>48</v>
      </c>
      <c r="M468">
        <v>530047</v>
      </c>
      <c r="N468" s="1" t="s">
        <v>19</v>
      </c>
    </row>
    <row r="469" spans="1:14" x14ac:dyDescent="0.3">
      <c r="A469">
        <v>62097158</v>
      </c>
      <c r="B469" s="1" t="s">
        <v>23</v>
      </c>
      <c r="C469" s="1" t="s">
        <v>26</v>
      </c>
      <c r="D469" s="1" t="s">
        <v>27</v>
      </c>
      <c r="E469" s="1" t="s">
        <v>21</v>
      </c>
      <c r="F469" s="1" t="s">
        <v>28</v>
      </c>
      <c r="G469" s="1" t="s">
        <v>23</v>
      </c>
      <c r="H469">
        <v>1</v>
      </c>
      <c r="I469" s="1" t="s">
        <v>16</v>
      </c>
      <c r="J469">
        <v>399</v>
      </c>
      <c r="K469" s="1" t="s">
        <v>169</v>
      </c>
      <c r="L469" s="1" t="s">
        <v>73</v>
      </c>
      <c r="M469">
        <v>690521</v>
      </c>
      <c r="N469" s="1" t="s">
        <v>19</v>
      </c>
    </row>
    <row r="470" spans="1:14" x14ac:dyDescent="0.3">
      <c r="A470">
        <v>94739</v>
      </c>
      <c r="B470" s="1" t="s">
        <v>20</v>
      </c>
      <c r="C470" s="1" t="s">
        <v>11</v>
      </c>
      <c r="D470" s="1" t="s">
        <v>12</v>
      </c>
      <c r="E470" s="1" t="s">
        <v>21</v>
      </c>
      <c r="F470" s="1" t="s">
        <v>22</v>
      </c>
      <c r="G470" s="1" t="s">
        <v>23</v>
      </c>
      <c r="H470">
        <v>1</v>
      </c>
      <c r="I470" s="1" t="s">
        <v>16</v>
      </c>
      <c r="J470">
        <v>471</v>
      </c>
      <c r="K470" s="1" t="s">
        <v>24</v>
      </c>
      <c r="L470" s="1" t="s">
        <v>25</v>
      </c>
      <c r="M470">
        <v>560021</v>
      </c>
      <c r="N470" s="1" t="s">
        <v>19</v>
      </c>
    </row>
    <row r="471" spans="1:14" x14ac:dyDescent="0.3">
      <c r="A471">
        <v>77441969</v>
      </c>
      <c r="B471" s="1" t="s">
        <v>23</v>
      </c>
      <c r="C471" s="1" t="s">
        <v>26</v>
      </c>
      <c r="D471" s="1" t="s">
        <v>27</v>
      </c>
      <c r="E471" s="1" t="s">
        <v>13</v>
      </c>
      <c r="F471" s="1" t="s">
        <v>31</v>
      </c>
      <c r="G471" s="1" t="s">
        <v>23</v>
      </c>
      <c r="H471">
        <v>1</v>
      </c>
      <c r="I471" s="1" t="s">
        <v>16</v>
      </c>
      <c r="J471">
        <v>545</v>
      </c>
      <c r="K471" s="1" t="s">
        <v>17</v>
      </c>
      <c r="L471" s="1" t="s">
        <v>18</v>
      </c>
      <c r="M471">
        <v>400042</v>
      </c>
      <c r="N471" s="1" t="s">
        <v>19</v>
      </c>
    </row>
    <row r="472" spans="1:14" x14ac:dyDescent="0.3">
      <c r="A472">
        <v>27101131</v>
      </c>
      <c r="B472" s="1" t="s">
        <v>23</v>
      </c>
      <c r="C472" s="1" t="s">
        <v>26</v>
      </c>
      <c r="D472" s="1" t="s">
        <v>27</v>
      </c>
      <c r="E472" s="1" t="s">
        <v>13</v>
      </c>
      <c r="F472" s="1" t="s">
        <v>14</v>
      </c>
      <c r="G472" s="1" t="s">
        <v>23</v>
      </c>
      <c r="H472">
        <v>1</v>
      </c>
      <c r="I472" s="1" t="s">
        <v>16</v>
      </c>
      <c r="J472">
        <v>968</v>
      </c>
      <c r="K472" s="1" t="s">
        <v>147</v>
      </c>
      <c r="L472" s="1" t="s">
        <v>37</v>
      </c>
      <c r="M472">
        <v>211002</v>
      </c>
      <c r="N472" s="1" t="s">
        <v>19</v>
      </c>
    </row>
    <row r="473" spans="1:14" x14ac:dyDescent="0.3">
      <c r="A473">
        <v>39985116</v>
      </c>
      <c r="B473" s="1" t="s">
        <v>23</v>
      </c>
      <c r="C473" s="1" t="s">
        <v>26</v>
      </c>
      <c r="D473" s="1" t="s">
        <v>27</v>
      </c>
      <c r="E473" s="1" t="s">
        <v>21</v>
      </c>
      <c r="F473" s="1" t="s">
        <v>56</v>
      </c>
      <c r="G473" s="1" t="s">
        <v>23</v>
      </c>
      <c r="H473">
        <v>1</v>
      </c>
      <c r="I473" s="1" t="s">
        <v>16</v>
      </c>
      <c r="J473">
        <v>499</v>
      </c>
      <c r="K473" s="1" t="s">
        <v>261</v>
      </c>
      <c r="L473" s="1" t="s">
        <v>93</v>
      </c>
      <c r="M473">
        <v>395007</v>
      </c>
      <c r="N473" s="1" t="s">
        <v>19</v>
      </c>
    </row>
    <row r="474" spans="1:14" x14ac:dyDescent="0.3">
      <c r="A474">
        <v>84892350</v>
      </c>
      <c r="B474" s="1" t="s">
        <v>23</v>
      </c>
      <c r="C474" s="1" t="s">
        <v>26</v>
      </c>
      <c r="D474" s="1" t="s">
        <v>27</v>
      </c>
      <c r="E474" s="1" t="s">
        <v>21</v>
      </c>
      <c r="F474" s="1" t="s">
        <v>31</v>
      </c>
      <c r="G474" s="1" t="s">
        <v>23</v>
      </c>
      <c r="H474">
        <v>1</v>
      </c>
      <c r="I474" s="1" t="s">
        <v>16</v>
      </c>
      <c r="J474">
        <v>399</v>
      </c>
      <c r="K474" s="1" t="s">
        <v>277</v>
      </c>
      <c r="L474" s="1" t="s">
        <v>48</v>
      </c>
      <c r="M474">
        <v>522614</v>
      </c>
      <c r="N474" s="1" t="s">
        <v>19</v>
      </c>
    </row>
    <row r="475" spans="1:14" x14ac:dyDescent="0.3">
      <c r="A475">
        <v>80382766</v>
      </c>
      <c r="B475" s="1" t="s">
        <v>23</v>
      </c>
      <c r="C475" s="1" t="s">
        <v>26</v>
      </c>
      <c r="D475" s="1" t="s">
        <v>27</v>
      </c>
      <c r="E475" s="1" t="s">
        <v>21</v>
      </c>
      <c r="F475" s="1" t="s">
        <v>28</v>
      </c>
      <c r="G475" s="1" t="s">
        <v>23</v>
      </c>
      <c r="H475">
        <v>1</v>
      </c>
      <c r="I475" s="1" t="s">
        <v>16</v>
      </c>
      <c r="J475">
        <v>399</v>
      </c>
      <c r="K475" s="1" t="s">
        <v>161</v>
      </c>
      <c r="L475" s="1" t="s">
        <v>93</v>
      </c>
      <c r="M475">
        <v>380058</v>
      </c>
      <c r="N475" s="1" t="s">
        <v>19</v>
      </c>
    </row>
    <row r="476" spans="1:14" x14ac:dyDescent="0.3">
      <c r="A476">
        <v>69261123</v>
      </c>
      <c r="B476" s="1" t="s">
        <v>10</v>
      </c>
      <c r="C476" s="1" t="s">
        <v>26</v>
      </c>
      <c r="D476" s="1" t="s">
        <v>27</v>
      </c>
      <c r="E476" s="1" t="s">
        <v>21</v>
      </c>
      <c r="F476" s="1" t="s">
        <v>41</v>
      </c>
      <c r="G476" s="1" t="s">
        <v>116</v>
      </c>
      <c r="H476">
        <v>1</v>
      </c>
      <c r="I476" s="1" t="s">
        <v>16</v>
      </c>
      <c r="J476">
        <v>471</v>
      </c>
      <c r="K476" s="1" t="s">
        <v>24</v>
      </c>
      <c r="L476" s="1" t="s">
        <v>25</v>
      </c>
      <c r="M476">
        <v>560043</v>
      </c>
      <c r="N476" s="1" t="s">
        <v>19</v>
      </c>
    </row>
    <row r="477" spans="1:14" x14ac:dyDescent="0.3">
      <c r="A477">
        <v>42421167</v>
      </c>
      <c r="B477" s="1" t="s">
        <v>10</v>
      </c>
      <c r="C477" s="1" t="s">
        <v>11</v>
      </c>
      <c r="D477" s="1" t="s">
        <v>12</v>
      </c>
      <c r="E477" s="1" t="s">
        <v>21</v>
      </c>
      <c r="F477" s="1" t="s">
        <v>41</v>
      </c>
      <c r="G477" s="1" t="s">
        <v>15</v>
      </c>
      <c r="H477">
        <v>2</v>
      </c>
      <c r="I477" s="1" t="s">
        <v>16</v>
      </c>
      <c r="J477">
        <v>387</v>
      </c>
      <c r="K477" s="1" t="s">
        <v>24</v>
      </c>
      <c r="L477" s="1" t="s">
        <v>25</v>
      </c>
      <c r="M477">
        <v>560043</v>
      </c>
      <c r="N477" s="1" t="s">
        <v>19</v>
      </c>
    </row>
    <row r="478" spans="1:14" x14ac:dyDescent="0.3">
      <c r="A478">
        <v>40976355</v>
      </c>
      <c r="B478" s="1" t="s">
        <v>10</v>
      </c>
      <c r="C478" s="1" t="s">
        <v>11</v>
      </c>
      <c r="D478" s="1" t="s">
        <v>12</v>
      </c>
      <c r="E478" s="1" t="s">
        <v>21</v>
      </c>
      <c r="F478" s="1" t="s">
        <v>41</v>
      </c>
      <c r="G478" s="1" t="s">
        <v>15</v>
      </c>
      <c r="H478">
        <v>2</v>
      </c>
      <c r="I478" s="1" t="s">
        <v>16</v>
      </c>
      <c r="J478">
        <v>452</v>
      </c>
      <c r="K478" s="1" t="s">
        <v>105</v>
      </c>
      <c r="L478" s="1" t="s">
        <v>106</v>
      </c>
      <c r="M478">
        <v>800026</v>
      </c>
      <c r="N478" s="1" t="s">
        <v>19</v>
      </c>
    </row>
    <row r="479" spans="1:14" x14ac:dyDescent="0.3">
      <c r="A479">
        <v>31443515</v>
      </c>
      <c r="B479" s="1" t="s">
        <v>23</v>
      </c>
      <c r="C479" s="1" t="s">
        <v>26</v>
      </c>
      <c r="D479" s="1" t="s">
        <v>27</v>
      </c>
      <c r="E479" s="1" t="s">
        <v>13</v>
      </c>
      <c r="F479" s="1" t="s">
        <v>31</v>
      </c>
      <c r="G479" s="1" t="s">
        <v>23</v>
      </c>
      <c r="H479">
        <v>1</v>
      </c>
      <c r="I479" s="1" t="s">
        <v>16</v>
      </c>
      <c r="J479">
        <v>1112</v>
      </c>
      <c r="K479" s="1" t="s">
        <v>221</v>
      </c>
      <c r="L479" s="1" t="s">
        <v>18</v>
      </c>
      <c r="M479">
        <v>411033</v>
      </c>
      <c r="N479" s="1" t="s">
        <v>19</v>
      </c>
    </row>
    <row r="480" spans="1:14" x14ac:dyDescent="0.3">
      <c r="A480">
        <v>68855562</v>
      </c>
      <c r="B480" s="1" t="s">
        <v>23</v>
      </c>
      <c r="C480" s="1" t="s">
        <v>26</v>
      </c>
      <c r="D480" s="1" t="s">
        <v>27</v>
      </c>
      <c r="E480" s="1" t="s">
        <v>13</v>
      </c>
      <c r="F480" s="1" t="s">
        <v>28</v>
      </c>
      <c r="G480" s="1" t="s">
        <v>23</v>
      </c>
      <c r="H480">
        <v>1</v>
      </c>
      <c r="I480" s="1" t="s">
        <v>16</v>
      </c>
      <c r="J480">
        <v>1338</v>
      </c>
      <c r="K480" s="1" t="s">
        <v>278</v>
      </c>
      <c r="L480" s="1" t="s">
        <v>100</v>
      </c>
      <c r="M480">
        <v>247667</v>
      </c>
      <c r="N480" s="1" t="s">
        <v>19</v>
      </c>
    </row>
    <row r="481" spans="1:14" x14ac:dyDescent="0.3">
      <c r="A481">
        <v>94536368</v>
      </c>
      <c r="B481" s="1" t="s">
        <v>23</v>
      </c>
      <c r="C481" s="1" t="s">
        <v>26</v>
      </c>
      <c r="D481" s="1" t="s">
        <v>27</v>
      </c>
      <c r="E481" s="1" t="s">
        <v>21</v>
      </c>
      <c r="F481" s="1" t="s">
        <v>22</v>
      </c>
      <c r="G481" s="1" t="s">
        <v>23</v>
      </c>
      <c r="H481">
        <v>1</v>
      </c>
      <c r="I481" s="1" t="s">
        <v>16</v>
      </c>
      <c r="J481">
        <v>517</v>
      </c>
      <c r="K481" s="1" t="s">
        <v>149</v>
      </c>
      <c r="L481" s="1" t="s">
        <v>25</v>
      </c>
      <c r="M481">
        <v>575006</v>
      </c>
      <c r="N481" s="1" t="s">
        <v>19</v>
      </c>
    </row>
    <row r="482" spans="1:14" x14ac:dyDescent="0.3">
      <c r="A482">
        <v>41268330</v>
      </c>
      <c r="B482" s="1" t="s">
        <v>23</v>
      </c>
      <c r="C482" s="1" t="s">
        <v>26</v>
      </c>
      <c r="D482" s="1" t="s">
        <v>27</v>
      </c>
      <c r="E482" s="1" t="s">
        <v>21</v>
      </c>
      <c r="F482" s="1" t="s">
        <v>28</v>
      </c>
      <c r="G482" s="1" t="s">
        <v>23</v>
      </c>
      <c r="H482">
        <v>1</v>
      </c>
      <c r="I482" s="1" t="s">
        <v>16</v>
      </c>
      <c r="J482">
        <v>329</v>
      </c>
      <c r="K482" s="1" t="s">
        <v>91</v>
      </c>
      <c r="L482" s="1" t="s">
        <v>18</v>
      </c>
      <c r="M482">
        <v>440006</v>
      </c>
      <c r="N482" s="1" t="s">
        <v>19</v>
      </c>
    </row>
    <row r="483" spans="1:14" x14ac:dyDescent="0.3">
      <c r="A483">
        <v>30689107</v>
      </c>
      <c r="B483" s="1" t="s">
        <v>23</v>
      </c>
      <c r="C483" s="1" t="s">
        <v>26</v>
      </c>
      <c r="D483" s="1" t="s">
        <v>27</v>
      </c>
      <c r="E483" s="1" t="s">
        <v>30</v>
      </c>
      <c r="F483" s="1" t="s">
        <v>31</v>
      </c>
      <c r="G483" s="1" t="s">
        <v>23</v>
      </c>
      <c r="H483">
        <v>1</v>
      </c>
      <c r="I483" s="1" t="s">
        <v>16</v>
      </c>
      <c r="J483">
        <v>725</v>
      </c>
      <c r="K483" s="1" t="s">
        <v>44</v>
      </c>
      <c r="L483" s="1" t="s">
        <v>37</v>
      </c>
      <c r="M483">
        <v>201301</v>
      </c>
      <c r="N483" s="1" t="s">
        <v>19</v>
      </c>
    </row>
    <row r="484" spans="1:14" x14ac:dyDescent="0.3">
      <c r="A484">
        <v>31029157</v>
      </c>
      <c r="B484" s="1" t="s">
        <v>23</v>
      </c>
      <c r="C484" s="1" t="s">
        <v>26</v>
      </c>
      <c r="D484" s="1" t="s">
        <v>27</v>
      </c>
      <c r="E484" s="1" t="s">
        <v>21</v>
      </c>
      <c r="F484" s="1" t="s">
        <v>41</v>
      </c>
      <c r="G484" s="1" t="s">
        <v>23</v>
      </c>
      <c r="H484">
        <v>1</v>
      </c>
      <c r="I484" s="1" t="s">
        <v>16</v>
      </c>
      <c r="J484">
        <v>363</v>
      </c>
      <c r="K484" s="1" t="s">
        <v>49</v>
      </c>
      <c r="L484" s="1" t="s">
        <v>50</v>
      </c>
      <c r="M484">
        <v>303905</v>
      </c>
      <c r="N484" s="1" t="s">
        <v>19</v>
      </c>
    </row>
    <row r="485" spans="1:14" x14ac:dyDescent="0.3">
      <c r="A485">
        <v>29342759</v>
      </c>
      <c r="B485" s="1" t="s">
        <v>23</v>
      </c>
      <c r="C485" s="1" t="s">
        <v>26</v>
      </c>
      <c r="D485" s="1" t="s">
        <v>27</v>
      </c>
      <c r="E485" s="1" t="s">
        <v>13</v>
      </c>
      <c r="F485" s="1" t="s">
        <v>31</v>
      </c>
      <c r="G485" s="1" t="s">
        <v>23</v>
      </c>
      <c r="H485">
        <v>1</v>
      </c>
      <c r="I485" s="1" t="s">
        <v>16</v>
      </c>
      <c r="J485">
        <v>666</v>
      </c>
      <c r="K485" s="1" t="s">
        <v>279</v>
      </c>
      <c r="L485" s="1" t="s">
        <v>71</v>
      </c>
      <c r="M485">
        <v>761002</v>
      </c>
      <c r="N485" s="1" t="s">
        <v>19</v>
      </c>
    </row>
    <row r="486" spans="1:14" x14ac:dyDescent="0.3">
      <c r="A486">
        <v>89574745</v>
      </c>
      <c r="B486" s="1" t="s">
        <v>10</v>
      </c>
      <c r="C486" s="1" t="s">
        <v>26</v>
      </c>
      <c r="D486" s="1" t="s">
        <v>27</v>
      </c>
      <c r="E486" s="1" t="s">
        <v>30</v>
      </c>
      <c r="F486" s="1" t="s">
        <v>14</v>
      </c>
      <c r="G486" s="1" t="s">
        <v>116</v>
      </c>
      <c r="H486">
        <v>1</v>
      </c>
      <c r="I486" s="1" t="s">
        <v>16</v>
      </c>
      <c r="J486">
        <v>588</v>
      </c>
      <c r="K486" s="1" t="s">
        <v>69</v>
      </c>
      <c r="L486" s="1" t="s">
        <v>48</v>
      </c>
      <c r="M486">
        <v>530016</v>
      </c>
      <c r="N486" s="1" t="s">
        <v>19</v>
      </c>
    </row>
    <row r="487" spans="1:14" x14ac:dyDescent="0.3">
      <c r="A487">
        <v>46638723</v>
      </c>
      <c r="B487" s="1" t="s">
        <v>23</v>
      </c>
      <c r="C487" s="1" t="s">
        <v>26</v>
      </c>
      <c r="D487" s="1" t="s">
        <v>27</v>
      </c>
      <c r="E487" s="1" t="s">
        <v>13</v>
      </c>
      <c r="F487" s="1" t="s">
        <v>14</v>
      </c>
      <c r="G487" s="1" t="s">
        <v>23</v>
      </c>
      <c r="H487">
        <v>1</v>
      </c>
      <c r="I487" s="1" t="s">
        <v>16</v>
      </c>
      <c r="J487">
        <v>449</v>
      </c>
      <c r="K487" s="1" t="s">
        <v>34</v>
      </c>
      <c r="L487" s="1" t="s">
        <v>35</v>
      </c>
      <c r="M487">
        <v>600089</v>
      </c>
      <c r="N487" s="1" t="s">
        <v>19</v>
      </c>
    </row>
    <row r="488" spans="1:14" x14ac:dyDescent="0.3">
      <c r="A488">
        <v>80505130</v>
      </c>
      <c r="B488" s="1" t="s">
        <v>23</v>
      </c>
      <c r="C488" s="1" t="s">
        <v>26</v>
      </c>
      <c r="D488" s="1" t="s">
        <v>27</v>
      </c>
      <c r="E488" s="1" t="s">
        <v>13</v>
      </c>
      <c r="F488" s="1" t="s">
        <v>28</v>
      </c>
      <c r="G488" s="1" t="s">
        <v>23</v>
      </c>
      <c r="H488">
        <v>1</v>
      </c>
      <c r="I488" s="1" t="s">
        <v>16</v>
      </c>
      <c r="J488">
        <v>696</v>
      </c>
      <c r="K488" s="1" t="s">
        <v>280</v>
      </c>
      <c r="L488" s="1" t="s">
        <v>80</v>
      </c>
      <c r="M488">
        <v>743127</v>
      </c>
      <c r="N488" s="1" t="s">
        <v>19</v>
      </c>
    </row>
    <row r="489" spans="1:14" x14ac:dyDescent="0.3">
      <c r="A489">
        <v>9245958</v>
      </c>
      <c r="B489" s="1" t="s">
        <v>23</v>
      </c>
      <c r="C489" s="1" t="s">
        <v>26</v>
      </c>
      <c r="D489" s="1" t="s">
        <v>27</v>
      </c>
      <c r="E489" s="1" t="s">
        <v>21</v>
      </c>
      <c r="F489" s="1" t="s">
        <v>56</v>
      </c>
      <c r="G489" s="1" t="s">
        <v>23</v>
      </c>
      <c r="H489">
        <v>1</v>
      </c>
      <c r="I489" s="1" t="s">
        <v>16</v>
      </c>
      <c r="J489">
        <v>459</v>
      </c>
      <c r="K489" s="1" t="s">
        <v>281</v>
      </c>
      <c r="L489" s="1" t="s">
        <v>125</v>
      </c>
      <c r="M489">
        <v>176092</v>
      </c>
      <c r="N489" s="1" t="s">
        <v>19</v>
      </c>
    </row>
    <row r="490" spans="1:14" x14ac:dyDescent="0.3">
      <c r="A490">
        <v>52309117</v>
      </c>
      <c r="B490" s="1" t="s">
        <v>20</v>
      </c>
      <c r="C490" s="1" t="s">
        <v>11</v>
      </c>
      <c r="D490" s="1" t="s">
        <v>12</v>
      </c>
      <c r="E490" s="1" t="s">
        <v>33</v>
      </c>
      <c r="F490" s="1" t="s">
        <v>31</v>
      </c>
      <c r="G490" s="1" t="s">
        <v>23</v>
      </c>
      <c r="H490">
        <v>1</v>
      </c>
      <c r="I490" s="1" t="s">
        <v>16</v>
      </c>
      <c r="J490">
        <v>625</v>
      </c>
      <c r="K490" s="1" t="s">
        <v>65</v>
      </c>
      <c r="L490" s="1" t="s">
        <v>18</v>
      </c>
      <c r="M490">
        <v>411001</v>
      </c>
      <c r="N490" s="1" t="s">
        <v>19</v>
      </c>
    </row>
    <row r="491" spans="1:14" x14ac:dyDescent="0.3">
      <c r="A491">
        <v>95004350</v>
      </c>
      <c r="B491" s="1" t="s">
        <v>23</v>
      </c>
      <c r="C491" s="1" t="s">
        <v>26</v>
      </c>
      <c r="D491" s="1" t="s">
        <v>27</v>
      </c>
      <c r="E491" s="1" t="s">
        <v>13</v>
      </c>
      <c r="F491" s="1" t="s">
        <v>22</v>
      </c>
      <c r="G491" s="1" t="s">
        <v>23</v>
      </c>
      <c r="H491">
        <v>1</v>
      </c>
      <c r="I491" s="1" t="s">
        <v>16</v>
      </c>
      <c r="J491">
        <v>654</v>
      </c>
      <c r="K491" s="1" t="s">
        <v>216</v>
      </c>
      <c r="L491" s="1" t="s">
        <v>37</v>
      </c>
      <c r="M491">
        <v>208017</v>
      </c>
      <c r="N491" s="1" t="s">
        <v>19</v>
      </c>
    </row>
    <row r="492" spans="1:14" x14ac:dyDescent="0.3">
      <c r="A492">
        <v>27785129</v>
      </c>
      <c r="B492" s="1" t="s">
        <v>23</v>
      </c>
      <c r="C492" s="1" t="s">
        <v>26</v>
      </c>
      <c r="D492" s="1" t="s">
        <v>27</v>
      </c>
      <c r="E492" s="1" t="s">
        <v>21</v>
      </c>
      <c r="F492" s="1" t="s">
        <v>28</v>
      </c>
      <c r="G492" s="1" t="s">
        <v>23</v>
      </c>
      <c r="H492">
        <v>1</v>
      </c>
      <c r="I492" s="1" t="s">
        <v>16</v>
      </c>
      <c r="J492">
        <v>399</v>
      </c>
      <c r="K492" s="1" t="s">
        <v>17</v>
      </c>
      <c r="L492" s="1" t="s">
        <v>18</v>
      </c>
      <c r="M492">
        <v>400074</v>
      </c>
      <c r="N492" s="1" t="s">
        <v>19</v>
      </c>
    </row>
    <row r="493" spans="1:14" x14ac:dyDescent="0.3">
      <c r="A493">
        <v>8988341</v>
      </c>
      <c r="B493" s="1" t="s">
        <v>23</v>
      </c>
      <c r="C493" s="1" t="s">
        <v>26</v>
      </c>
      <c r="D493" s="1" t="s">
        <v>27</v>
      </c>
      <c r="E493" s="1" t="s">
        <v>13</v>
      </c>
      <c r="F493" s="1" t="s">
        <v>41</v>
      </c>
      <c r="G493" s="1" t="s">
        <v>23</v>
      </c>
      <c r="H493">
        <v>1</v>
      </c>
      <c r="I493" s="1" t="s">
        <v>16</v>
      </c>
      <c r="J493">
        <v>595</v>
      </c>
      <c r="K493" s="1" t="s">
        <v>34</v>
      </c>
      <c r="L493" s="1" t="s">
        <v>35</v>
      </c>
      <c r="M493">
        <v>600128</v>
      </c>
      <c r="N493" s="1" t="s">
        <v>19</v>
      </c>
    </row>
    <row r="494" spans="1:14" x14ac:dyDescent="0.3">
      <c r="A494">
        <v>5186712</v>
      </c>
      <c r="B494" s="1" t="s">
        <v>23</v>
      </c>
      <c r="C494" s="1" t="s">
        <v>26</v>
      </c>
      <c r="D494" s="1" t="s">
        <v>27</v>
      </c>
      <c r="E494" s="1" t="s">
        <v>13</v>
      </c>
      <c r="F494" s="1" t="s">
        <v>31</v>
      </c>
      <c r="G494" s="1" t="s">
        <v>23</v>
      </c>
      <c r="H494">
        <v>1</v>
      </c>
      <c r="I494" s="1" t="s">
        <v>16</v>
      </c>
      <c r="J494">
        <v>597</v>
      </c>
      <c r="K494" s="1" t="s">
        <v>194</v>
      </c>
      <c r="L494" s="1" t="s">
        <v>18</v>
      </c>
      <c r="M494">
        <v>422101</v>
      </c>
      <c r="N494" s="1" t="s">
        <v>19</v>
      </c>
    </row>
    <row r="495" spans="1:14" x14ac:dyDescent="0.3">
      <c r="A495">
        <v>15116306</v>
      </c>
      <c r="B495" s="1" t="s">
        <v>23</v>
      </c>
      <c r="C495" s="1" t="s">
        <v>26</v>
      </c>
      <c r="D495" s="1" t="s">
        <v>27</v>
      </c>
      <c r="E495" s="1" t="s">
        <v>13</v>
      </c>
      <c r="F495" s="1" t="s">
        <v>41</v>
      </c>
      <c r="G495" s="1" t="s">
        <v>23</v>
      </c>
      <c r="H495">
        <v>1</v>
      </c>
      <c r="I495" s="1" t="s">
        <v>16</v>
      </c>
      <c r="J495">
        <v>582</v>
      </c>
      <c r="K495" s="1" t="s">
        <v>51</v>
      </c>
      <c r="L495" s="1" t="s">
        <v>52</v>
      </c>
      <c r="M495">
        <v>110058</v>
      </c>
      <c r="N495" s="1" t="s">
        <v>19</v>
      </c>
    </row>
    <row r="496" spans="1:14" x14ac:dyDescent="0.3">
      <c r="A496">
        <v>45598720</v>
      </c>
      <c r="B496" s="1" t="s">
        <v>23</v>
      </c>
      <c r="C496" s="1" t="s">
        <v>26</v>
      </c>
      <c r="D496" s="1" t="s">
        <v>27</v>
      </c>
      <c r="E496" s="1" t="s">
        <v>13</v>
      </c>
      <c r="F496" s="1" t="s">
        <v>22</v>
      </c>
      <c r="G496" s="1" t="s">
        <v>23</v>
      </c>
      <c r="H496">
        <v>1</v>
      </c>
      <c r="I496" s="1" t="s">
        <v>16</v>
      </c>
      <c r="J496">
        <v>612</v>
      </c>
      <c r="K496" s="1" t="s">
        <v>17</v>
      </c>
      <c r="L496" s="1" t="s">
        <v>18</v>
      </c>
      <c r="M496">
        <v>400042</v>
      </c>
      <c r="N496" s="1" t="s">
        <v>19</v>
      </c>
    </row>
    <row r="497" spans="1:14" x14ac:dyDescent="0.3">
      <c r="A497">
        <v>69930731</v>
      </c>
      <c r="B497" s="1" t="s">
        <v>23</v>
      </c>
      <c r="C497" s="1" t="s">
        <v>26</v>
      </c>
      <c r="D497" s="1" t="s">
        <v>27</v>
      </c>
      <c r="E497" s="1" t="s">
        <v>13</v>
      </c>
      <c r="F497" s="1" t="s">
        <v>56</v>
      </c>
      <c r="G497" s="1" t="s">
        <v>23</v>
      </c>
      <c r="H497">
        <v>1</v>
      </c>
      <c r="I497" s="1" t="s">
        <v>16</v>
      </c>
      <c r="J497">
        <v>654</v>
      </c>
      <c r="K497" s="1" t="s">
        <v>76</v>
      </c>
      <c r="L497" s="1" t="s">
        <v>37</v>
      </c>
      <c r="M497">
        <v>201308</v>
      </c>
      <c r="N497" s="1" t="s">
        <v>19</v>
      </c>
    </row>
    <row r="498" spans="1:14" x14ac:dyDescent="0.3">
      <c r="A498">
        <v>76916328</v>
      </c>
      <c r="B498" s="1" t="s">
        <v>20</v>
      </c>
      <c r="C498" s="1" t="s">
        <v>11</v>
      </c>
      <c r="D498" s="1" t="s">
        <v>12</v>
      </c>
      <c r="E498" s="1" t="s">
        <v>33</v>
      </c>
      <c r="F498" s="1" t="s">
        <v>31</v>
      </c>
      <c r="G498" s="1" t="s">
        <v>23</v>
      </c>
      <c r="H498">
        <v>1</v>
      </c>
      <c r="I498" s="1" t="s">
        <v>16</v>
      </c>
      <c r="J498">
        <v>518</v>
      </c>
      <c r="K498" s="1" t="s">
        <v>51</v>
      </c>
      <c r="L498" s="1" t="s">
        <v>52</v>
      </c>
      <c r="M498">
        <v>110075</v>
      </c>
      <c r="N498" s="1" t="s">
        <v>19</v>
      </c>
    </row>
    <row r="499" spans="1:14" x14ac:dyDescent="0.3">
      <c r="A499">
        <v>40737167</v>
      </c>
      <c r="B499" s="1" t="s">
        <v>23</v>
      </c>
      <c r="C499" s="1" t="s">
        <v>26</v>
      </c>
      <c r="D499" s="1" t="s">
        <v>27</v>
      </c>
      <c r="E499" s="1" t="s">
        <v>13</v>
      </c>
      <c r="F499" s="1" t="s">
        <v>14</v>
      </c>
      <c r="G499" s="1" t="s">
        <v>23</v>
      </c>
      <c r="H499">
        <v>1</v>
      </c>
      <c r="I499" s="1" t="s">
        <v>16</v>
      </c>
      <c r="J499">
        <v>820</v>
      </c>
      <c r="K499" s="1" t="s">
        <v>282</v>
      </c>
      <c r="L499" s="1" t="s">
        <v>78</v>
      </c>
      <c r="M499">
        <v>473995</v>
      </c>
      <c r="N499" s="1" t="s">
        <v>19</v>
      </c>
    </row>
    <row r="500" spans="1:14" x14ac:dyDescent="0.3">
      <c r="A500">
        <v>89058746</v>
      </c>
      <c r="B500" s="1" t="s">
        <v>23</v>
      </c>
      <c r="C500" s="1" t="s">
        <v>26</v>
      </c>
      <c r="D500" s="1" t="s">
        <v>27</v>
      </c>
      <c r="E500" s="1" t="s">
        <v>13</v>
      </c>
      <c r="F500" s="1" t="s">
        <v>22</v>
      </c>
      <c r="G500" s="1" t="s">
        <v>23</v>
      </c>
      <c r="H500">
        <v>1</v>
      </c>
      <c r="I500" s="1" t="s">
        <v>16</v>
      </c>
      <c r="J500">
        <v>801</v>
      </c>
      <c r="K500" s="1" t="s">
        <v>68</v>
      </c>
      <c r="L500" s="1" t="s">
        <v>37</v>
      </c>
      <c r="M500">
        <v>226025</v>
      </c>
      <c r="N500" s="1" t="s">
        <v>19</v>
      </c>
    </row>
    <row r="501" spans="1:14" x14ac:dyDescent="0.3">
      <c r="A501">
        <v>47672347</v>
      </c>
      <c r="B501" s="1" t="s">
        <v>23</v>
      </c>
      <c r="C501" s="1" t="s">
        <v>26</v>
      </c>
      <c r="D501" s="1" t="s">
        <v>27</v>
      </c>
      <c r="E501" s="1" t="s">
        <v>21</v>
      </c>
      <c r="F501" s="1" t="s">
        <v>28</v>
      </c>
      <c r="G501" s="1" t="s">
        <v>23</v>
      </c>
      <c r="H501">
        <v>1</v>
      </c>
      <c r="I501" s="1" t="s">
        <v>16</v>
      </c>
      <c r="J501">
        <v>399</v>
      </c>
      <c r="K501" s="1" t="s">
        <v>17</v>
      </c>
      <c r="L501" s="1" t="s">
        <v>18</v>
      </c>
      <c r="M501">
        <v>400098</v>
      </c>
      <c r="N501" s="1" t="s">
        <v>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770D6-6614-487F-AE87-8C8CF9F4D2F4}">
  <dimension ref="B3:C7"/>
  <sheetViews>
    <sheetView workbookViewId="0">
      <selection activeCell="F11" sqref="F11"/>
    </sheetView>
  </sheetViews>
  <sheetFormatPr defaultRowHeight="14.4" x14ac:dyDescent="0.3"/>
  <cols>
    <col min="2" max="2" width="37.33203125" customWidth="1"/>
    <col min="3" max="3" width="15.88671875" customWidth="1"/>
  </cols>
  <sheetData>
    <row r="3" spans="2:3" x14ac:dyDescent="0.3">
      <c r="B3" s="4" t="s">
        <v>285</v>
      </c>
      <c r="C3" s="2">
        <f>COUNT(amzn_2[Order Number])</f>
        <v>500</v>
      </c>
    </row>
    <row r="4" spans="2:3" x14ac:dyDescent="0.3">
      <c r="B4" s="4" t="s">
        <v>286</v>
      </c>
      <c r="C4" s="2">
        <f>SUM(amzn_2[Qty])</f>
        <v>518</v>
      </c>
    </row>
    <row r="5" spans="2:3" x14ac:dyDescent="0.3">
      <c r="B5" s="4" t="s">
        <v>287</v>
      </c>
      <c r="C5" s="2">
        <f>AVERAGE(amzn_2[Amount])</f>
        <v>618.55999999999995</v>
      </c>
    </row>
    <row r="6" spans="2:3" x14ac:dyDescent="0.3">
      <c r="B6" s="4" t="s">
        <v>288</v>
      </c>
      <c r="C6" s="2">
        <f>COUNTIF(amzn_2[Status],"Shipped")</f>
        <v>372</v>
      </c>
    </row>
    <row r="7" spans="2:3" x14ac:dyDescent="0.3">
      <c r="B7" s="4" t="s">
        <v>289</v>
      </c>
      <c r="C7" s="3">
        <f>AVERAGEIF(amzn_2[State],"TAMIL NADU",amzn_2[Amount])</f>
        <v>523.89189189189187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603A9-734D-4A6A-BF17-5409BB3D9867}">
  <dimension ref="A3:M33"/>
  <sheetViews>
    <sheetView workbookViewId="0">
      <selection activeCell="K26" sqref="K26"/>
    </sheetView>
  </sheetViews>
  <sheetFormatPr defaultRowHeight="14.4" x14ac:dyDescent="0.3"/>
  <cols>
    <col min="1" max="1" width="12.5546875" bestFit="1" customWidth="1"/>
    <col min="2" max="2" width="10.44140625" bestFit="1" customWidth="1"/>
    <col min="3" max="4" width="10.44140625" customWidth="1"/>
    <col min="5" max="5" width="19.5546875" customWidth="1"/>
    <col min="6" max="6" width="10.44140625" customWidth="1"/>
    <col min="7" max="7" width="18.88671875" customWidth="1"/>
    <col min="8" max="9" width="10.44140625" customWidth="1"/>
    <col min="14" max="14" width="24.21875" bestFit="1" customWidth="1"/>
    <col min="15" max="15" width="17.44140625" bestFit="1" customWidth="1"/>
    <col min="17" max="17" width="19.5546875" bestFit="1" customWidth="1"/>
    <col min="18" max="18" width="10.44140625" bestFit="1" customWidth="1"/>
  </cols>
  <sheetData>
    <row r="3" spans="1:13" x14ac:dyDescent="0.3">
      <c r="A3" s="14" t="s">
        <v>290</v>
      </c>
      <c r="B3" t="s">
        <v>292</v>
      </c>
      <c r="D3" s="14" t="s">
        <v>290</v>
      </c>
      <c r="E3" t="s">
        <v>296</v>
      </c>
      <c r="G3" s="14" t="s">
        <v>290</v>
      </c>
      <c r="H3" t="s">
        <v>293</v>
      </c>
      <c r="K3" s="5"/>
      <c r="L3" s="6"/>
      <c r="M3" s="7"/>
    </row>
    <row r="4" spans="1:13" x14ac:dyDescent="0.3">
      <c r="A4" s="15" t="s">
        <v>30</v>
      </c>
      <c r="B4" s="1">
        <v>33800</v>
      </c>
      <c r="C4" s="1"/>
      <c r="D4" s="15" t="s">
        <v>10</v>
      </c>
      <c r="E4" s="1">
        <v>36</v>
      </c>
      <c r="F4" s="1"/>
      <c r="G4" s="15" t="s">
        <v>48</v>
      </c>
      <c r="H4" s="1">
        <v>19</v>
      </c>
      <c r="I4" s="1"/>
      <c r="K4" s="8"/>
      <c r="L4" s="9"/>
      <c r="M4" s="10"/>
    </row>
    <row r="5" spans="1:13" x14ac:dyDescent="0.3">
      <c r="A5" s="15" t="s">
        <v>74</v>
      </c>
      <c r="B5" s="1">
        <v>2443</v>
      </c>
      <c r="C5" s="1"/>
      <c r="D5" s="15" t="s">
        <v>23</v>
      </c>
      <c r="E5" s="1">
        <v>372</v>
      </c>
      <c r="F5" s="1"/>
      <c r="G5" s="15" t="s">
        <v>159</v>
      </c>
      <c r="H5" s="1">
        <v>1</v>
      </c>
      <c r="I5" s="1"/>
      <c r="K5" s="8"/>
      <c r="L5" s="9"/>
      <c r="M5" s="10"/>
    </row>
    <row r="6" spans="1:13" x14ac:dyDescent="0.3">
      <c r="A6" s="15" t="s">
        <v>21</v>
      </c>
      <c r="B6" s="1">
        <v>91704</v>
      </c>
      <c r="C6" s="1"/>
      <c r="D6" s="15" t="s">
        <v>20</v>
      </c>
      <c r="E6" s="1">
        <v>88</v>
      </c>
      <c r="F6" s="1"/>
      <c r="G6" s="15" t="s">
        <v>59</v>
      </c>
      <c r="H6" s="1">
        <v>10</v>
      </c>
      <c r="I6" s="1"/>
      <c r="K6" s="8"/>
      <c r="L6" s="9"/>
      <c r="M6" s="10"/>
    </row>
    <row r="7" spans="1:13" x14ac:dyDescent="0.3">
      <c r="A7" s="15" t="s">
        <v>245</v>
      </c>
      <c r="B7" s="1">
        <v>620</v>
      </c>
      <c r="C7" s="1"/>
      <c r="D7" s="15" t="s">
        <v>242</v>
      </c>
      <c r="E7" s="1">
        <v>1</v>
      </c>
      <c r="F7" s="1"/>
      <c r="G7" s="15" t="s">
        <v>106</v>
      </c>
      <c r="H7" s="1">
        <v>12</v>
      </c>
      <c r="I7" s="1"/>
      <c r="K7" s="8"/>
      <c r="L7" s="9"/>
      <c r="M7" s="10"/>
    </row>
    <row r="8" spans="1:13" x14ac:dyDescent="0.3">
      <c r="A8" s="15" t="s">
        <v>101</v>
      </c>
      <c r="B8" s="1">
        <v>377</v>
      </c>
      <c r="C8" s="1"/>
      <c r="D8" s="15" t="s">
        <v>173</v>
      </c>
      <c r="E8" s="1">
        <v>3</v>
      </c>
      <c r="F8" s="1"/>
      <c r="G8" s="15" t="s">
        <v>38</v>
      </c>
      <c r="H8" s="1">
        <v>1</v>
      </c>
      <c r="I8" s="1"/>
      <c r="K8" s="8"/>
      <c r="L8" s="9"/>
      <c r="M8" s="10"/>
    </row>
    <row r="9" spans="1:13" x14ac:dyDescent="0.3">
      <c r="A9" s="15" t="s">
        <v>33</v>
      </c>
      <c r="B9" s="1">
        <v>17974</v>
      </c>
      <c r="C9" s="1"/>
      <c r="D9" s="15" t="s">
        <v>291</v>
      </c>
      <c r="E9" s="1">
        <v>500</v>
      </c>
      <c r="F9" s="1"/>
      <c r="G9" s="15" t="s">
        <v>63</v>
      </c>
      <c r="H9" s="1">
        <v>3</v>
      </c>
      <c r="I9" s="1"/>
      <c r="K9" s="8"/>
      <c r="L9" s="9"/>
      <c r="M9" s="10"/>
    </row>
    <row r="10" spans="1:13" x14ac:dyDescent="0.3">
      <c r="A10" s="15" t="s">
        <v>13</v>
      </c>
      <c r="B10" s="1">
        <v>162033</v>
      </c>
      <c r="C10" s="1"/>
      <c r="D10" s="1"/>
      <c r="E10" s="1"/>
      <c r="F10" s="1"/>
      <c r="G10" s="15" t="s">
        <v>52</v>
      </c>
      <c r="H10" s="1">
        <v>23</v>
      </c>
      <c r="I10" s="1"/>
      <c r="K10" s="8"/>
      <c r="L10" s="9"/>
      <c r="M10" s="10"/>
    </row>
    <row r="11" spans="1:13" x14ac:dyDescent="0.3">
      <c r="A11" s="15" t="s">
        <v>254</v>
      </c>
      <c r="B11" s="1">
        <v>329</v>
      </c>
      <c r="C11" s="1"/>
      <c r="D11" s="1"/>
      <c r="E11" s="1"/>
      <c r="F11" s="1"/>
      <c r="G11" s="15" t="s">
        <v>202</v>
      </c>
      <c r="H11" s="1">
        <v>4</v>
      </c>
      <c r="I11" s="1"/>
      <c r="K11" s="8"/>
      <c r="L11" s="9"/>
      <c r="M11" s="10"/>
    </row>
    <row r="12" spans="1:13" x14ac:dyDescent="0.3">
      <c r="A12" s="15" t="s">
        <v>291</v>
      </c>
      <c r="B12" s="1">
        <v>309280</v>
      </c>
      <c r="C12" s="1"/>
      <c r="D12" s="14" t="s">
        <v>290</v>
      </c>
      <c r="E12" t="s">
        <v>293</v>
      </c>
      <c r="F12" s="1"/>
      <c r="G12" s="15" t="s">
        <v>93</v>
      </c>
      <c r="H12" s="1">
        <v>13</v>
      </c>
      <c r="I12" s="1"/>
      <c r="K12" s="8"/>
      <c r="L12" s="9"/>
      <c r="M12" s="10"/>
    </row>
    <row r="13" spans="1:13" x14ac:dyDescent="0.3">
      <c r="D13" s="15" t="s">
        <v>27</v>
      </c>
      <c r="E13" s="1">
        <v>386</v>
      </c>
      <c r="G13" s="15" t="s">
        <v>54</v>
      </c>
      <c r="H13" s="1">
        <v>13</v>
      </c>
      <c r="K13" s="8"/>
      <c r="L13" s="9"/>
      <c r="M13" s="10"/>
    </row>
    <row r="14" spans="1:13" x14ac:dyDescent="0.3">
      <c r="D14" s="15" t="s">
        <v>12</v>
      </c>
      <c r="E14" s="1">
        <v>132</v>
      </c>
      <c r="G14" s="15" t="s">
        <v>125</v>
      </c>
      <c r="H14" s="1">
        <v>3</v>
      </c>
      <c r="K14" s="8"/>
      <c r="L14" s="9"/>
      <c r="M14" s="10"/>
    </row>
    <row r="15" spans="1:13" x14ac:dyDescent="0.3">
      <c r="A15" s="14" t="s">
        <v>290</v>
      </c>
      <c r="B15" t="s">
        <v>293</v>
      </c>
      <c r="D15" s="15" t="s">
        <v>291</v>
      </c>
      <c r="E15" s="1">
        <v>518</v>
      </c>
      <c r="G15" s="15" t="s">
        <v>108</v>
      </c>
      <c r="H15" s="1">
        <v>4</v>
      </c>
      <c r="K15" s="8"/>
      <c r="L15" s="9"/>
      <c r="M15" s="10"/>
    </row>
    <row r="16" spans="1:13" x14ac:dyDescent="0.3">
      <c r="A16" s="15" t="s">
        <v>26</v>
      </c>
      <c r="B16" s="1">
        <v>392</v>
      </c>
      <c r="C16" s="1"/>
      <c r="D16" s="1"/>
      <c r="E16" s="1"/>
      <c r="F16" s="1"/>
      <c r="G16" s="15" t="s">
        <v>61</v>
      </c>
      <c r="H16" s="1">
        <v>7</v>
      </c>
      <c r="I16" s="1"/>
      <c r="K16" s="8"/>
      <c r="L16" s="9"/>
      <c r="M16" s="10"/>
    </row>
    <row r="17" spans="1:13" x14ac:dyDescent="0.3">
      <c r="A17" s="15" t="s">
        <v>11</v>
      </c>
      <c r="B17" s="1">
        <v>126</v>
      </c>
      <c r="C17" s="1"/>
      <c r="D17" s="1"/>
      <c r="E17" s="1"/>
      <c r="F17" s="1"/>
      <c r="G17" s="15" t="s">
        <v>25</v>
      </c>
      <c r="H17" s="1">
        <v>79</v>
      </c>
      <c r="I17" s="1"/>
      <c r="K17" s="8"/>
      <c r="L17" s="9"/>
      <c r="M17" s="10"/>
    </row>
    <row r="18" spans="1:13" x14ac:dyDescent="0.3">
      <c r="A18" s="15" t="s">
        <v>291</v>
      </c>
      <c r="B18" s="1">
        <v>518</v>
      </c>
      <c r="C18" s="1"/>
      <c r="D18" s="1"/>
      <c r="E18" s="1"/>
      <c r="F18" s="1"/>
      <c r="G18" s="15" t="s">
        <v>73</v>
      </c>
      <c r="H18" s="1">
        <v>12</v>
      </c>
      <c r="I18" s="1"/>
      <c r="K18" s="8"/>
      <c r="L18" s="9"/>
      <c r="M18" s="10"/>
    </row>
    <row r="19" spans="1:13" x14ac:dyDescent="0.3">
      <c r="G19" s="15" t="s">
        <v>78</v>
      </c>
      <c r="H19" s="1">
        <v>15</v>
      </c>
      <c r="K19" s="8"/>
      <c r="L19" s="9"/>
      <c r="M19" s="10"/>
    </row>
    <row r="20" spans="1:13" x14ac:dyDescent="0.3">
      <c r="G20" s="15" t="s">
        <v>18</v>
      </c>
      <c r="H20" s="1">
        <v>78</v>
      </c>
      <c r="K20" s="11"/>
      <c r="L20" s="12"/>
      <c r="M20" s="13"/>
    </row>
    <row r="21" spans="1:13" x14ac:dyDescent="0.3">
      <c r="G21" s="15" t="s">
        <v>257</v>
      </c>
      <c r="H21" s="1">
        <v>1</v>
      </c>
    </row>
    <row r="22" spans="1:13" x14ac:dyDescent="0.3">
      <c r="G22" s="15" t="s">
        <v>206</v>
      </c>
      <c r="H22" s="1">
        <v>2</v>
      </c>
    </row>
    <row r="23" spans="1:13" x14ac:dyDescent="0.3">
      <c r="G23" s="15" t="s">
        <v>87</v>
      </c>
      <c r="H23" s="1">
        <v>3</v>
      </c>
    </row>
    <row r="24" spans="1:13" x14ac:dyDescent="0.3">
      <c r="G24" s="15" t="s">
        <v>71</v>
      </c>
      <c r="H24" s="1">
        <v>14</v>
      </c>
    </row>
    <row r="25" spans="1:13" x14ac:dyDescent="0.3">
      <c r="G25" s="15" t="s">
        <v>32</v>
      </c>
      <c r="H25" s="1">
        <v>5</v>
      </c>
    </row>
    <row r="26" spans="1:13" x14ac:dyDescent="0.3">
      <c r="G26" s="15" t="s">
        <v>120</v>
      </c>
      <c r="H26" s="1">
        <v>5</v>
      </c>
    </row>
    <row r="27" spans="1:13" x14ac:dyDescent="0.3">
      <c r="G27" s="15" t="s">
        <v>50</v>
      </c>
      <c r="H27" s="1">
        <v>7</v>
      </c>
    </row>
    <row r="28" spans="1:13" x14ac:dyDescent="0.3">
      <c r="G28" s="15" t="s">
        <v>35</v>
      </c>
      <c r="H28" s="1">
        <v>38</v>
      </c>
    </row>
    <row r="29" spans="1:13" x14ac:dyDescent="0.3">
      <c r="G29" s="15" t="s">
        <v>40</v>
      </c>
      <c r="H29" s="1">
        <v>57</v>
      </c>
    </row>
    <row r="30" spans="1:13" x14ac:dyDescent="0.3">
      <c r="G30" s="15" t="s">
        <v>37</v>
      </c>
      <c r="H30" s="1">
        <v>48</v>
      </c>
    </row>
    <row r="31" spans="1:13" x14ac:dyDescent="0.3">
      <c r="G31" s="15" t="s">
        <v>100</v>
      </c>
      <c r="H31" s="1">
        <v>13</v>
      </c>
    </row>
    <row r="32" spans="1:13" x14ac:dyDescent="0.3">
      <c r="G32" s="15" t="s">
        <v>80</v>
      </c>
      <c r="H32" s="1">
        <v>28</v>
      </c>
    </row>
    <row r="33" spans="7:8" x14ac:dyDescent="0.3">
      <c r="G33" s="15" t="s">
        <v>291</v>
      </c>
      <c r="H33" s="1">
        <v>518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52519-2DAE-4F85-8AFE-AD87C7BCF064}">
  <dimension ref="I1:K1"/>
  <sheetViews>
    <sheetView topLeftCell="A2" workbookViewId="0">
      <selection activeCell="H1" sqref="H1"/>
    </sheetView>
  </sheetViews>
  <sheetFormatPr defaultRowHeight="14.4" x14ac:dyDescent="0.3"/>
  <sheetData>
    <row r="1" spans="9:11" ht="25.8" x14ac:dyDescent="0.5">
      <c r="I1" s="16"/>
      <c r="K1" s="17" t="s">
        <v>297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6D90EF-F7F3-4A99-AE35-8BAEDED07E1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amzn_1</vt:lpstr>
      <vt:lpstr>analysis</vt:lpstr>
      <vt:lpstr>PIVOT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918667670665</cp:lastModifiedBy>
  <dcterms:created xsi:type="dcterms:W3CDTF">2026-03-10T20:30:42Z</dcterms:created>
  <dcterms:modified xsi:type="dcterms:W3CDTF">2026-03-10T21:48:59Z</dcterms:modified>
</cp:coreProperties>
</file>